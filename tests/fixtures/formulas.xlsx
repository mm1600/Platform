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Holdings" sheetId="1" state="visible" r:id="rId3"/>
    <sheet name="Mapping" sheetId="2" state="visible" r:id="rId4"/>
    <sheet name="Hardcoded" sheetId="3" state="visible" r:id="rId5"/>
    <sheet name="ESG Hardcode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<sst xmlns="http://schemas.openxmlformats.org/spreadsheetml/2006/main" count="12508" uniqueCount="1144">
  <si>
    <t xml:space="preserve">Unique Identifier</t>
  </si>
  <si>
    <t xml:space="preserve">Investor Code</t>
  </si>
  <si>
    <t xml:space="preserve">Identification ID</t>
  </si>
  <si>
    <t xml:space="preserve">Code Name</t>
  </si>
  <si>
    <t xml:space="preserve">Reporting Date</t>
  </si>
  <si>
    <t xml:space="preserve">Model Portfolio</t>
  </si>
  <si>
    <t xml:space="preserve">Portfolio</t>
  </si>
  <si>
    <t xml:space="preserve">Security ID</t>
  </si>
  <si>
    <t xml:space="preserve">Security Name</t>
  </si>
  <si>
    <t xml:space="preserve">Portfolio Name</t>
  </si>
  <si>
    <t xml:space="preserve">Model Portfolio Name</t>
  </si>
  <si>
    <t xml:space="preserve">Portfolio Group</t>
  </si>
  <si>
    <t xml:space="preserve">Current Underlying Amount PC</t>
  </si>
  <si>
    <t xml:space="preserve">Current Underlying Amount RC</t>
  </si>
  <si>
    <t xml:space="preserve">Portfolio Currency</t>
  </si>
  <si>
    <t xml:space="preserve">Security Type Name</t>
  </si>
  <si>
    <t xml:space="preserve">RA_Bullet</t>
  </si>
  <si>
    <t xml:space="preserve">Loan Code</t>
  </si>
  <si>
    <t xml:space="preserve">Asset Type RA</t>
  </si>
  <si>
    <t xml:space="preserve">RA Country</t>
  </si>
  <si>
    <t xml:space="preserve">RA Asset Country Name</t>
  </si>
  <si>
    <t xml:space="preserve">Underlying Asset Type</t>
  </si>
  <si>
    <t xml:space="preserve">CRDB Code</t>
  </si>
  <si>
    <t xml:space="preserve">WAL</t>
  </si>
  <si>
    <t xml:space="preserve">Quotation Currency</t>
  </si>
  <si>
    <t xml:space="preserve">FX Rate EC</t>
  </si>
  <si>
    <t xml:space="preserve">Forex</t>
  </si>
  <si>
    <t xml:space="preserve">Initial Commitment Amount CCY</t>
  </si>
  <si>
    <t xml:space="preserve">Gross Notional PC</t>
  </si>
  <si>
    <t xml:space="preserve">Gross Notional RC</t>
  </si>
  <si>
    <t xml:space="preserve">Balance Funded %</t>
  </si>
  <si>
    <t xml:space="preserve">Balance Book Value PC</t>
  </si>
  <si>
    <t xml:space="preserve">Balance Nominal/Number</t>
  </si>
  <si>
    <t xml:space="preserve">Balance Unfunded Amount</t>
  </si>
  <si>
    <t xml:space="preserve">RA_Commitment QC</t>
  </si>
  <si>
    <t xml:space="preserve">Current Drawn Amount CCY</t>
  </si>
  <si>
    <t xml:space="preserve">Current Drawn Amount PC</t>
  </si>
  <si>
    <t xml:space="preserve">RA_Referentiel Rate</t>
  </si>
  <si>
    <t xml:space="preserve">Yield</t>
  </si>
  <si>
    <t xml:space="preserve">Yield EUR</t>
  </si>
  <si>
    <t xml:space="preserve">Yield GBP</t>
  </si>
  <si>
    <t xml:space="preserve">Purchase Price %</t>
  </si>
  <si>
    <t xml:space="preserve">Clean Price for Weight</t>
  </si>
  <si>
    <t xml:space="preserve">Purchase Date</t>
  </si>
  <si>
    <t xml:space="preserve">Maturity Date</t>
  </si>
  <si>
    <t xml:space="preserve">Next Coupon Date Format</t>
  </si>
  <si>
    <t xml:space="preserve">Parent Issuer ID</t>
  </si>
  <si>
    <t xml:space="preserve">Parent Issuer Name</t>
  </si>
  <si>
    <t xml:space="preserve">RA_Listed Borrower</t>
  </si>
  <si>
    <t xml:space="preserve">Issuer Name</t>
  </si>
  <si>
    <t xml:space="preserve">Issuer</t>
  </si>
  <si>
    <t xml:space="preserve">Issuer Country</t>
  </si>
  <si>
    <t xml:space="preserve">Group Name</t>
  </si>
  <si>
    <t xml:space="preserve">LEI</t>
  </si>
  <si>
    <t xml:space="preserve">TAB Status</t>
  </si>
  <si>
    <t xml:space="preserve">CR Status</t>
  </si>
  <si>
    <t xml:space="preserve">CR Limit</t>
  </si>
  <si>
    <t xml:space="preserve">Current NDS</t>
  </si>
  <si>
    <t xml:space="preserve">Underlying Parent Issuer ID</t>
  </si>
  <si>
    <t xml:space="preserve">RA Commitment PC</t>
  </si>
  <si>
    <t xml:space="preserve">RA Commitment RC</t>
  </si>
  <si>
    <t xml:space="preserve">Rate Type</t>
  </si>
  <si>
    <t xml:space="preserve">Seniority</t>
  </si>
  <si>
    <t xml:space="preserve">STEF Level</t>
  </si>
  <si>
    <t xml:space="preserve">Modified Duration YTM</t>
  </si>
  <si>
    <t xml:space="preserve">Time to Maturity</t>
  </si>
  <si>
    <t xml:space="preserve">RA_Floored</t>
  </si>
  <si>
    <t xml:space="preserve">Make Whole Case</t>
  </si>
  <si>
    <t xml:space="preserve">Nature</t>
  </si>
  <si>
    <t xml:space="preserve">RA Ident</t>
  </si>
  <si>
    <t xml:space="preserve">FM Controller Infra</t>
  </si>
  <si>
    <t xml:space="preserve">FMCG Controller</t>
  </si>
  <si>
    <t xml:space="preserve">Next Rate (Index)</t>
  </si>
  <si>
    <t xml:space="preserve">Interest Payment Frequency</t>
  </si>
  <si>
    <t xml:space="preserve">Basis</t>
  </si>
  <si>
    <t xml:space="preserve">All-in Spread at Acquisition</t>
  </si>
  <si>
    <t xml:space="preserve">Spread</t>
  </si>
  <si>
    <t xml:space="preserve">Next Coupon</t>
  </si>
  <si>
    <t xml:space="preserve">Index</t>
  </si>
  <si>
    <t xml:space="preserve">Internal Current Rating</t>
  </si>
  <si>
    <t xml:space="preserve">Ext Sec Group_Rating_Closing</t>
  </si>
  <si>
    <t xml:space="preserve">Rating Fitch</t>
  </si>
  <si>
    <t xml:space="preserve">Rating S&amp;P</t>
  </si>
  <si>
    <t xml:space="preserve">Rating Moody's</t>
  </si>
  <si>
    <t xml:space="preserve">Last Compliance Certification Date</t>
  </si>
  <si>
    <t xml:space="preserve">ICR Limit</t>
  </si>
  <si>
    <t xml:space="preserve">ICR Current</t>
  </si>
  <si>
    <t xml:space="preserve">ICR Day One</t>
  </si>
  <si>
    <t xml:space="preserve">ICR Status</t>
  </si>
  <si>
    <t xml:space="preserve">ICR Trend</t>
  </si>
  <si>
    <t xml:space="preserve">ICR -3m</t>
  </si>
  <si>
    <t xml:space="preserve">ICR -6m</t>
  </si>
  <si>
    <t xml:space="preserve">ICR -9m</t>
  </si>
  <si>
    <t xml:space="preserve">ICR -1y</t>
  </si>
  <si>
    <t xml:space="preserve">ICR -2y</t>
  </si>
  <si>
    <t xml:space="preserve">LLCR Cash Trap</t>
  </si>
  <si>
    <t xml:space="preserve">LLCR Covenant (RA)</t>
  </si>
  <si>
    <t xml:space="preserve">LLCR Status</t>
  </si>
  <si>
    <t xml:space="preserve">LTV -3m</t>
  </si>
  <si>
    <t xml:space="preserve">LTV -6m</t>
  </si>
  <si>
    <t xml:space="preserve">LTV -9m</t>
  </si>
  <si>
    <t xml:space="preserve">LTV -1y</t>
  </si>
  <si>
    <t xml:space="preserve">LTV -2y</t>
  </si>
  <si>
    <t xml:space="preserve">LTV Current</t>
  </si>
  <si>
    <t xml:space="preserve">LTV Day One</t>
  </si>
  <si>
    <t xml:space="preserve">LTV Limit</t>
  </si>
  <si>
    <t xml:space="preserve">LTV Status</t>
  </si>
  <si>
    <t xml:space="preserve">LTV Trend</t>
  </si>
  <si>
    <t xml:space="preserve">LEV Cash Trap</t>
  </si>
  <si>
    <t xml:space="preserve">LEV Limit</t>
  </si>
  <si>
    <t xml:space="preserve">LEV Status</t>
  </si>
  <si>
    <t xml:space="preserve">RA_LVG_D1</t>
  </si>
  <si>
    <t xml:space="preserve">RA_COD_LVG</t>
  </si>
  <si>
    <t xml:space="preserve">RA_NDRAB_CT</t>
  </si>
  <si>
    <t xml:space="preserve">RA_COD_NDRAB</t>
  </si>
  <si>
    <t xml:space="preserve">RA_DSC_D1</t>
  </si>
  <si>
    <t xml:space="preserve">RA_COD_DSC</t>
  </si>
  <si>
    <t xml:space="preserve">PLCR Cash Trap</t>
  </si>
  <si>
    <t xml:space="preserve">Cash Trap LTV Covenant</t>
  </si>
  <si>
    <t xml:space="preserve">Cash Trap ICR Covenant</t>
  </si>
  <si>
    <t xml:space="preserve">Cash Trap DY Covenant</t>
  </si>
  <si>
    <t xml:space="preserve">NAH Cash Trap</t>
  </si>
  <si>
    <t xml:space="preserve">NDS Cash Trap</t>
  </si>
  <si>
    <t xml:space="preserve">GR Cash Trap</t>
  </si>
  <si>
    <t xml:space="preserve">CR Cash Trap</t>
  </si>
  <si>
    <t xml:space="preserve">RA_CR_D1</t>
  </si>
  <si>
    <t xml:space="preserve">RA_ICR_D1</t>
  </si>
  <si>
    <t xml:space="preserve">RA_COD_ICR</t>
  </si>
  <si>
    <t xml:space="preserve">RA_COD_CR</t>
  </si>
  <si>
    <t xml:space="preserve">PLCR Status</t>
  </si>
  <si>
    <t xml:space="preserve">PLCR Covenant (RA)</t>
  </si>
  <si>
    <t xml:space="preserve">DSC Trans</t>
  </si>
  <si>
    <t xml:space="preserve">DSC Status</t>
  </si>
  <si>
    <t xml:space="preserve">DSC Limit</t>
  </si>
  <si>
    <t xml:space="preserve">DSC Cash Trap</t>
  </si>
  <si>
    <t xml:space="preserve">RA_DC_CT</t>
  </si>
  <si>
    <t xml:space="preserve">RA_DC_COV</t>
  </si>
  <si>
    <t xml:space="preserve">DSC Day One</t>
  </si>
  <si>
    <t xml:space="preserve">DSC -3m</t>
  </si>
  <si>
    <t xml:space="preserve">DSC -6m</t>
  </si>
  <si>
    <t xml:space="preserve">DSC -9m</t>
  </si>
  <si>
    <t xml:space="preserve">DSC -1y</t>
  </si>
  <si>
    <t xml:space="preserve">DSC -2y</t>
  </si>
  <si>
    <t xml:space="preserve">RA_COD_DC</t>
  </si>
  <si>
    <t xml:space="preserve">DC Status</t>
  </si>
  <si>
    <t xml:space="preserve">RA_COD_DY</t>
  </si>
  <si>
    <t xml:space="preserve">DY Trend</t>
  </si>
  <si>
    <t xml:space="preserve">DY Status</t>
  </si>
  <si>
    <t xml:space="preserve">DY Limit</t>
  </si>
  <si>
    <t xml:space="preserve">RA_DY_D1</t>
  </si>
  <si>
    <t xml:space="preserve">DY -3m</t>
  </si>
  <si>
    <t xml:space="preserve">DY -6m</t>
  </si>
  <si>
    <t xml:space="preserve">DY -9m</t>
  </si>
  <si>
    <t xml:space="preserve">DY -1y</t>
  </si>
  <si>
    <t xml:space="preserve">DY -2y</t>
  </si>
  <si>
    <t xml:space="preserve">GR Status</t>
  </si>
  <si>
    <t xml:space="preserve">GR Covenant</t>
  </si>
  <si>
    <t xml:space="preserve">RA_LTV_D1</t>
  </si>
  <si>
    <t xml:space="preserve">RA_Infra Risk Profile</t>
  </si>
  <si>
    <t xml:space="preserve">RA_Infra Rating</t>
  </si>
  <si>
    <t xml:space="preserve">RA_COD_LTV</t>
  </si>
  <si>
    <t xml:space="preserve">NAH Status</t>
  </si>
  <si>
    <t xml:space="preserve">NAH Covenants</t>
  </si>
  <si>
    <t xml:space="preserve">Current NAH</t>
  </si>
  <si>
    <t xml:space="preserve">NDS Status</t>
  </si>
  <si>
    <t xml:space="preserve">NDS Covenant</t>
  </si>
  <si>
    <t xml:space="preserve">Current FAV</t>
  </si>
  <si>
    <t xml:space="preserve">Current PLCR (RA)</t>
  </si>
  <si>
    <t xml:space="preserve">Current LLCR (RA)</t>
  </si>
  <si>
    <t xml:space="preserve">Revenue -1y</t>
  </si>
  <si>
    <t xml:space="preserve">Revenue -2y</t>
  </si>
  <si>
    <t xml:space="preserve">RA EBITDA</t>
  </si>
  <si>
    <t xml:space="preserve">EBITDA -1y</t>
  </si>
  <si>
    <t xml:space="preserve">EBITDA -2y</t>
  </si>
  <si>
    <t xml:space="preserve">FO_RA_LTV Covenant</t>
  </si>
  <si>
    <t xml:space="preserve">FO_RA_ICR Covenant</t>
  </si>
  <si>
    <t xml:space="preserve">FO_RA_Current ICR</t>
  </si>
  <si>
    <t xml:space="preserve">FO_RA_Current LTV</t>
  </si>
  <si>
    <t xml:space="preserve">RA Revenue</t>
  </si>
  <si>
    <t xml:space="preserve">FAV Cash Trap</t>
  </si>
  <si>
    <t xml:space="preserve">FAV Covenant</t>
  </si>
  <si>
    <t xml:space="preserve">FAV Status</t>
  </si>
  <si>
    <t xml:space="preserve">Aurora Offshore</t>
  </si>
  <si>
    <t xml:space="preserve">Fund 4 Fund</t>
  </si>
  <si>
    <t xml:space="preserve">Infra Debt</t>
  </si>
  <si>
    <t xml:space="preserve">EUR</t>
  </si>
  <si>
    <t xml:space="preserve">Private Placement Note</t>
  </si>
  <si>
    <t xml:space="preserve">N</t>
  </si>
  <si>
    <t xml:space="preserve">L100200</t>
  </si>
  <si>
    <t xml:space="preserve">Infrastructure Debt</t>
  </si>
  <si>
    <t xml:space="preserve">DE</t>
  </si>
  <si>
    <t xml:space="preserve">Germany</t>
  </si>
  <si>
    <t xml:space="preserve">Offshore wind</t>
  </si>
  <si>
    <t xml:space="preserve">CR1000</t>
  </si>
  <si>
    <t xml:space="preserve">EURIBOR 6M</t>
  </si>
  <si>
    <t xml:space="preserve">PI2000</t>
  </si>
  <si>
    <t xml:space="preserve">Corvus Digital</t>
  </si>
  <si>
    <t xml:space="preserve">Aurora Offshore Finance Ltd</t>
  </si>
  <si>
    <t xml:space="preserve">Aurora Offshore Finance</t>
  </si>
  <si>
    <t xml:space="preserve">529900SYNTH000000000</t>
  </si>
  <si>
    <t xml:space="preserve">Floating</t>
  </si>
  <si>
    <t xml:space="preserve">Senior Secured</t>
  </si>
  <si>
    <t xml:space="preserve">Y</t>
  </si>
  <si>
    <t xml:space="preserve">Debt</t>
  </si>
  <si>
    <t xml:space="preserve">RA100200</t>
  </si>
  <si>
    <t xml:space="preserve">E. Rossi</t>
  </si>
  <si>
    <t xml:space="preserve">Semi-annual</t>
  </si>
  <si>
    <t xml:space="preserve">ACT/360</t>
  </si>
  <si>
    <t xml:space="preserve">EURIBOR</t>
  </si>
  <si>
    <t xml:space="preserve">BBB</t>
  </si>
  <si>
    <t xml:space="preserve">BBB+</t>
  </si>
  <si>
    <t xml:space="preserve">NR</t>
  </si>
  <si>
    <t xml:space="preserve">OK</t>
  </si>
  <si>
    <t xml:space="preserve">Watch</t>
  </si>
  <si>
    <t xml:space="preserve">Fund 1 Fund</t>
  </si>
  <si>
    <t xml:space="preserve">Investor 15 Mandate</t>
  </si>
  <si>
    <t xml:space="preserve">D. Schäfer</t>
  </si>
  <si>
    <t xml:space="preserve">30/360</t>
  </si>
  <si>
    <t xml:space="preserve">Investor 7 Portfolio</t>
  </si>
  <si>
    <t xml:space="preserve">GBP</t>
  </si>
  <si>
    <t xml:space="preserve">B. Okoro</t>
  </si>
  <si>
    <t xml:space="preserve">Fund 3 Fund</t>
  </si>
  <si>
    <t xml:space="preserve">SINGLE</t>
  </si>
  <si>
    <t xml:space="preserve">Investor 19 Mandate</t>
  </si>
  <si>
    <t xml:space="preserve">F. Lindqvist</t>
  </si>
  <si>
    <t xml:space="preserve">Beacon Airports</t>
  </si>
  <si>
    <t xml:space="preserve">Investor 3 Portfolio</t>
  </si>
  <si>
    <t xml:space="preserve">Loan</t>
  </si>
  <si>
    <t xml:space="preserve">L100201</t>
  </si>
  <si>
    <t xml:space="preserve">GB</t>
  </si>
  <si>
    <t xml:space="preserve">United Kingdom</t>
  </si>
  <si>
    <t xml:space="preserve">Airports</t>
  </si>
  <si>
    <t xml:space="preserve">CR1001</t>
  </si>
  <si>
    <t xml:space="preserve">PI2001</t>
  </si>
  <si>
    <t xml:space="preserve">Aquila Utilities</t>
  </si>
  <si>
    <t xml:space="preserve">Beacon Airports Finance Ltd</t>
  </si>
  <si>
    <t xml:space="preserve">Beacon Airports Finance</t>
  </si>
  <si>
    <t xml:space="preserve">529900SYNTH000000001</t>
  </si>
  <si>
    <t xml:space="preserve">RA100201</t>
  </si>
  <si>
    <t xml:space="preserve">BBB-</t>
  </si>
  <si>
    <t xml:space="preserve">Baa2</t>
  </si>
  <si>
    <t xml:space="preserve">Investor 14 Mandate</t>
  </si>
  <si>
    <t xml:space="preserve">Cascade Telecom</t>
  </si>
  <si>
    <t xml:space="preserve">Investor 9 Portfolio</t>
  </si>
  <si>
    <t xml:space="preserve">USD</t>
  </si>
  <si>
    <t xml:space="preserve">L100202</t>
  </si>
  <si>
    <t xml:space="preserve">Telecom towers</t>
  </si>
  <si>
    <t xml:space="preserve">CR1002</t>
  </si>
  <si>
    <t xml:space="preserve">PI2002</t>
  </si>
  <si>
    <t xml:space="preserve">Silverline Transport</t>
  </si>
  <si>
    <t xml:space="preserve">Cascade Telecom Finance Ltd</t>
  </si>
  <si>
    <t xml:space="preserve">Cascade Telecom Finance</t>
  </si>
  <si>
    <t xml:space="preserve">529900SYNTH000000002</t>
  </si>
  <si>
    <t xml:space="preserve">Fixed</t>
  </si>
  <si>
    <t xml:space="preserve">RA100202</t>
  </si>
  <si>
    <t xml:space="preserve">C. Dubois</t>
  </si>
  <si>
    <t xml:space="preserve">A</t>
  </si>
  <si>
    <t xml:space="preserve">Quarterly</t>
  </si>
  <si>
    <t xml:space="preserve">Investor 18 Mandate</t>
  </si>
  <si>
    <t xml:space="preserve">Delta Water A</t>
  </si>
  <si>
    <t xml:space="preserve">Investor 13 Mandate</t>
  </si>
  <si>
    <t xml:space="preserve">L100203</t>
  </si>
  <si>
    <t xml:space="preserve">Water</t>
  </si>
  <si>
    <t xml:space="preserve">CR1003</t>
  </si>
  <si>
    <t xml:space="preserve">PI2003</t>
  </si>
  <si>
    <t xml:space="preserve">Delta Water Finance Ltd</t>
  </si>
  <si>
    <t xml:space="preserve">Delta Water Finance</t>
  </si>
  <si>
    <t xml:space="preserve">529900SYNTH000000003</t>
  </si>
  <si>
    <t xml:space="preserve">RA100203</t>
  </si>
  <si>
    <t xml:space="preserve">A. Martin</t>
  </si>
  <si>
    <t xml:space="preserve">Delta Water B</t>
  </si>
  <si>
    <t xml:space="preserve">L100204</t>
  </si>
  <si>
    <t xml:space="preserve">RA100204</t>
  </si>
  <si>
    <t xml:space="preserve">Fund 2 Fund</t>
  </si>
  <si>
    <t xml:space="preserve">Investor 17 Mandate</t>
  </si>
  <si>
    <t xml:space="preserve">Investor 5 Portfolio</t>
  </si>
  <si>
    <t xml:space="preserve">Ember Battery A</t>
  </si>
  <si>
    <t xml:space="preserve">Investor 8 Portfolio</t>
  </si>
  <si>
    <t xml:space="preserve">L100205</t>
  </si>
  <si>
    <t xml:space="preserve">IT</t>
  </si>
  <si>
    <t xml:space="preserve">Italy</t>
  </si>
  <si>
    <t xml:space="preserve">Battery storage</t>
  </si>
  <si>
    <t xml:space="preserve">CR1004</t>
  </si>
  <si>
    <t xml:space="preserve">PI2004</t>
  </si>
  <si>
    <t xml:space="preserve">Terra Social Infra</t>
  </si>
  <si>
    <t xml:space="preserve">Ember Battery Finance Ltd</t>
  </si>
  <si>
    <t xml:space="preserve">Ember Battery Finance</t>
  </si>
  <si>
    <t xml:space="preserve">529900SYNTH000000004</t>
  </si>
  <si>
    <t xml:space="preserve">RA100205</t>
  </si>
  <si>
    <t xml:space="preserve">BB-</t>
  </si>
  <si>
    <t xml:space="preserve">Ember Battery B</t>
  </si>
  <si>
    <t xml:space="preserve">L100206</t>
  </si>
  <si>
    <t xml:space="preserve">RA100206</t>
  </si>
  <si>
    <t xml:space="preserve">Investor 20 Mandate</t>
  </si>
  <si>
    <t xml:space="preserve">Falcon Hospitals</t>
  </si>
  <si>
    <t xml:space="preserve">L100207</t>
  </si>
  <si>
    <t xml:space="preserve">Hospitals (PPP)</t>
  </si>
  <si>
    <t xml:space="preserve">CR1005</t>
  </si>
  <si>
    <t xml:space="preserve">PI2005</t>
  </si>
  <si>
    <t xml:space="preserve">Northwind Capital</t>
  </si>
  <si>
    <t xml:space="preserve">Falcon Hospitals Finance Ltd</t>
  </si>
  <si>
    <t xml:space="preserve">Falcon Hospitals Finance</t>
  </si>
  <si>
    <t xml:space="preserve">529900SYNTH000000005</t>
  </si>
  <si>
    <t xml:space="preserve">RA100207</t>
  </si>
  <si>
    <t xml:space="preserve">Baa3</t>
  </si>
  <si>
    <t xml:space="preserve">Granite Hydro</t>
  </si>
  <si>
    <t xml:space="preserve">L100208</t>
  </si>
  <si>
    <t xml:space="preserve">IE</t>
  </si>
  <si>
    <t xml:space="preserve">Ireland</t>
  </si>
  <si>
    <t xml:space="preserve">Hydro</t>
  </si>
  <si>
    <t xml:space="preserve">CR1006</t>
  </si>
  <si>
    <t xml:space="preserve">PI2006</t>
  </si>
  <si>
    <t xml:space="preserve">Meridian Infrastructure</t>
  </si>
  <si>
    <t xml:space="preserve">Granite Hydro Finance Ltd</t>
  </si>
  <si>
    <t xml:space="preserve">Granite Hydro Finance</t>
  </si>
  <si>
    <t xml:space="preserve">529900SYNTH000000006</t>
  </si>
  <si>
    <t xml:space="preserve">RA100208</t>
  </si>
  <si>
    <t xml:space="preserve">AA-</t>
  </si>
  <si>
    <t xml:space="preserve">AA</t>
  </si>
  <si>
    <t xml:space="preserve">Fund 5 Fund</t>
  </si>
  <si>
    <t xml:space="preserve">Harbour Toll</t>
  </si>
  <si>
    <t xml:space="preserve">L100209</t>
  </si>
  <si>
    <t xml:space="preserve">NL</t>
  </si>
  <si>
    <t xml:space="preserve">Netherlands</t>
  </si>
  <si>
    <t xml:space="preserve">Toll roads</t>
  </si>
  <si>
    <t xml:space="preserve">CR1007</t>
  </si>
  <si>
    <t xml:space="preserve">PI2007</t>
  </si>
  <si>
    <t xml:space="preserve">Helios Partners</t>
  </si>
  <si>
    <t xml:space="preserve">Harbour Toll Finance Ltd</t>
  </si>
  <si>
    <t xml:space="preserve">Harbour Toll Finance</t>
  </si>
  <si>
    <t xml:space="preserve">529900SYNTH000000007</t>
  </si>
  <si>
    <t xml:space="preserve">RA100209</t>
  </si>
  <si>
    <t xml:space="preserve">Investor 12 Mandate</t>
  </si>
  <si>
    <t xml:space="preserve">Investor 2 Portfolio</t>
  </si>
  <si>
    <t xml:space="preserve">Iris Fibre</t>
  </si>
  <si>
    <t xml:space="preserve">L100210</t>
  </si>
  <si>
    <t xml:space="preserve">Fibre networks</t>
  </si>
  <si>
    <t xml:space="preserve">CR1008</t>
  </si>
  <si>
    <t xml:space="preserve">PI2008</t>
  </si>
  <si>
    <t xml:space="preserve">Iris Fibre Finance Ltd</t>
  </si>
  <si>
    <t xml:space="preserve">Iris Fibre Finance</t>
  </si>
  <si>
    <t xml:space="preserve">529900SYNTH000000008</t>
  </si>
  <si>
    <t xml:space="preserve">RA100210</t>
  </si>
  <si>
    <t xml:space="preserve">Investor 16 Mandate</t>
  </si>
  <si>
    <t xml:space="preserve">Juniper Gas</t>
  </si>
  <si>
    <t xml:space="preserve">Investor 1 Portfolio</t>
  </si>
  <si>
    <t xml:space="preserve">L100211</t>
  </si>
  <si>
    <t xml:space="preserve">Gas distribution</t>
  </si>
  <si>
    <t xml:space="preserve">CR1009</t>
  </si>
  <si>
    <t xml:space="preserve">PI2009</t>
  </si>
  <si>
    <t xml:space="preserve">Juniper Gas Finance Ltd</t>
  </si>
  <si>
    <t xml:space="preserve">Juniper Gas Finance</t>
  </si>
  <si>
    <t xml:space="preserve">529900SYNTH000000009</t>
  </si>
  <si>
    <t xml:space="preserve">RA100211</t>
  </si>
  <si>
    <t xml:space="preserve">BB</t>
  </si>
  <si>
    <t xml:space="preserve">Kestrel Battery</t>
  </si>
  <si>
    <t xml:space="preserve">L100212</t>
  </si>
  <si>
    <t xml:space="preserve">ES</t>
  </si>
  <si>
    <t xml:space="preserve">Spain</t>
  </si>
  <si>
    <t xml:space="preserve">CR1010</t>
  </si>
  <si>
    <t xml:space="preserve">PI2010</t>
  </si>
  <si>
    <t xml:space="preserve">Kestrel Battery Finance Ltd</t>
  </si>
  <si>
    <t xml:space="preserve">Kestrel Battery Finance</t>
  </si>
  <si>
    <t xml:space="preserve">529900SYNTH000000010</t>
  </si>
  <si>
    <t xml:space="preserve">RA100212</t>
  </si>
  <si>
    <t xml:space="preserve">Lumen Hospitals A</t>
  </si>
  <si>
    <t xml:space="preserve">L100213</t>
  </si>
  <si>
    <t xml:space="preserve">PT</t>
  </si>
  <si>
    <t xml:space="preserve">Portugal</t>
  </si>
  <si>
    <t xml:space="preserve">CR1011</t>
  </si>
  <si>
    <t xml:space="preserve">PI2011</t>
  </si>
  <si>
    <t xml:space="preserve">Lumen Hospitals Finance Ltd</t>
  </si>
  <si>
    <t xml:space="preserve">Lumen Hospitals Finance</t>
  </si>
  <si>
    <t xml:space="preserve">529900SYNTH000000011</t>
  </si>
  <si>
    <t xml:space="preserve">RA100213</t>
  </si>
  <si>
    <t xml:space="preserve">Lumen Hospitals B</t>
  </si>
  <si>
    <t xml:space="preserve">L100214</t>
  </si>
  <si>
    <t xml:space="preserve">RA100214</t>
  </si>
  <si>
    <t xml:space="preserve">BBB –</t>
  </si>
  <si>
    <t xml:space="preserve">Meridian Solar</t>
  </si>
  <si>
    <t xml:space="preserve">L100215</t>
  </si>
  <si>
    <t xml:space="preserve">Solar PV</t>
  </si>
  <si>
    <t xml:space="preserve">CR1012</t>
  </si>
  <si>
    <t xml:space="preserve">PI2012</t>
  </si>
  <si>
    <t xml:space="preserve">Boreal Energy</t>
  </si>
  <si>
    <t xml:space="preserve">Meridian Solar Finance Ltd</t>
  </si>
  <si>
    <t xml:space="preserve">Meridian Solar Finance</t>
  </si>
  <si>
    <t xml:space="preserve">529900SYNTH000000012</t>
  </si>
  <si>
    <t xml:space="preserve">RA100215</t>
  </si>
  <si>
    <t xml:space="preserve">Nimbus Airports</t>
  </si>
  <si>
    <t xml:space="preserve">Investor 4 Portfolio</t>
  </si>
  <si>
    <t xml:space="preserve">L100216</t>
  </si>
  <si>
    <t xml:space="preserve">CR1013</t>
  </si>
  <si>
    <t xml:space="preserve">PI2013</t>
  </si>
  <si>
    <t xml:space="preserve">Nimbus Airports Finance Ltd</t>
  </si>
  <si>
    <t xml:space="preserve">Nimbus Airports Finance</t>
  </si>
  <si>
    <t xml:space="preserve">529900SYNTH000000013</t>
  </si>
  <si>
    <t xml:space="preserve">RA100216</t>
  </si>
  <si>
    <t xml:space="preserve">Fund 6 Fund</t>
  </si>
  <si>
    <t xml:space="preserve">Orion Fibre</t>
  </si>
  <si>
    <t xml:space="preserve">L100217</t>
  </si>
  <si>
    <t xml:space="preserve">FI</t>
  </si>
  <si>
    <t xml:space="preserve">Finland</t>
  </si>
  <si>
    <t xml:space="preserve">CR1014</t>
  </si>
  <si>
    <t xml:space="preserve">PI2014</t>
  </si>
  <si>
    <t xml:space="preserve">Orion Fibre Finance Ltd</t>
  </si>
  <si>
    <t xml:space="preserve">Orion Fibre Finance</t>
  </si>
  <si>
    <t xml:space="preserve">529900SYNTH000000014</t>
  </si>
  <si>
    <t xml:space="preserve">RA100217</t>
  </si>
  <si>
    <t xml:space="preserve">BB+</t>
  </si>
  <si>
    <t xml:space="preserve">Pioneer Gas</t>
  </si>
  <si>
    <t xml:space="preserve">L100218</t>
  </si>
  <si>
    <t xml:space="preserve">CH</t>
  </si>
  <si>
    <t xml:space="preserve">Switzerland</t>
  </si>
  <si>
    <t xml:space="preserve">CR1015</t>
  </si>
  <si>
    <t xml:space="preserve">CHF</t>
  </si>
  <si>
    <t xml:space="preserve">PI2015</t>
  </si>
  <si>
    <t xml:space="preserve">Pioneer Gas Finance Ltd</t>
  </si>
  <si>
    <t xml:space="preserve">Pioneer Gas Finance</t>
  </si>
  <si>
    <t xml:space="preserve">529900SYNTH000000015</t>
  </si>
  <si>
    <t xml:space="preserve">RA100218</t>
  </si>
  <si>
    <t xml:space="preserve">Investor 11 Mandate</t>
  </si>
  <si>
    <t xml:space="preserve">Quartz Battery</t>
  </si>
  <si>
    <t xml:space="preserve">L100219</t>
  </si>
  <si>
    <t xml:space="preserve">CR1016</t>
  </si>
  <si>
    <t xml:space="preserve">PI2016</t>
  </si>
  <si>
    <t xml:space="preserve">Quartz Battery Finance Ltd</t>
  </si>
  <si>
    <t xml:space="preserve">Quartz Battery Finance</t>
  </si>
  <si>
    <t xml:space="preserve">529900SYNTH000000016</t>
  </si>
  <si>
    <t xml:space="preserve">RA100219</t>
  </si>
  <si>
    <t xml:space="preserve">Ridge Student</t>
  </si>
  <si>
    <t xml:space="preserve">L100220</t>
  </si>
  <si>
    <t xml:space="preserve">SE</t>
  </si>
  <si>
    <t xml:space="preserve">Sweden</t>
  </si>
  <si>
    <t xml:space="preserve">Student accommodation</t>
  </si>
  <si>
    <t xml:space="preserve">CR1017</t>
  </si>
  <si>
    <t xml:space="preserve">SEK</t>
  </si>
  <si>
    <t xml:space="preserve">PI2017</t>
  </si>
  <si>
    <t xml:space="preserve">Ridge Student Finance Ltd</t>
  </si>
  <si>
    <t xml:space="preserve">Ridge Student Finance</t>
  </si>
  <si>
    <t xml:space="preserve">529900SYNTH000000017</t>
  </si>
  <si>
    <t xml:space="preserve">RA100220</t>
  </si>
  <si>
    <t xml:space="preserve">Summit Hydro</t>
  </si>
  <si>
    <t xml:space="preserve">L100221</t>
  </si>
  <si>
    <t xml:space="preserve">CR1018</t>
  </si>
  <si>
    <t xml:space="preserve">PI2018</t>
  </si>
  <si>
    <t xml:space="preserve">Summit Hydro Finance Ltd</t>
  </si>
  <si>
    <t xml:space="preserve">Summit Hydro Finance</t>
  </si>
  <si>
    <t xml:space="preserve">529900SYNTH000000018</t>
  </si>
  <si>
    <t xml:space="preserve">RA100221</t>
  </si>
  <si>
    <t xml:space="preserve">Fund 7 Fund</t>
  </si>
  <si>
    <t xml:space="preserve">Tidal Toll</t>
  </si>
  <si>
    <t xml:space="preserve">L100222</t>
  </si>
  <si>
    <t xml:space="preserve">FR</t>
  </si>
  <si>
    <t xml:space="preserve">France</t>
  </si>
  <si>
    <t xml:space="preserve">CR1019</t>
  </si>
  <si>
    <t xml:space="preserve">PI2019</t>
  </si>
  <si>
    <t xml:space="preserve">Tidal Toll Finance Ltd</t>
  </si>
  <si>
    <t xml:space="preserve">Tidal Toll Finance</t>
  </si>
  <si>
    <t xml:space="preserve">529900SYNTH000000019</t>
  </si>
  <si>
    <t xml:space="preserve">RA100222</t>
  </si>
  <si>
    <t xml:space="preserve">Investor 10 Portfolio</t>
  </si>
  <si>
    <t xml:space="preserve">Umbra Data</t>
  </si>
  <si>
    <t xml:space="preserve">L100223</t>
  </si>
  <si>
    <t xml:space="preserve">Data centres</t>
  </si>
  <si>
    <t xml:space="preserve">CR1020</t>
  </si>
  <si>
    <t xml:space="preserve">PI2020</t>
  </si>
  <si>
    <t xml:space="preserve">Umbra Data Finance Ltd</t>
  </si>
  <si>
    <t xml:space="preserve">Umbra Data Finance</t>
  </si>
  <si>
    <t xml:space="preserve">529900SYNTH000000020</t>
  </si>
  <si>
    <t xml:space="preserve">RA100223</t>
  </si>
  <si>
    <t xml:space="preserve">Vertex Electricity</t>
  </si>
  <si>
    <t xml:space="preserve">L100224</t>
  </si>
  <si>
    <t xml:space="preserve">Electricity networks</t>
  </si>
  <si>
    <t xml:space="preserve">CR1021</t>
  </si>
  <si>
    <t xml:space="preserve">PI2021</t>
  </si>
  <si>
    <t xml:space="preserve">Vertex Electricity Finance Ltd</t>
  </si>
  <si>
    <t xml:space="preserve">Vertex Electricity Finance</t>
  </si>
  <si>
    <t xml:space="preserve">529900SYNTH000000021</t>
  </si>
  <si>
    <t xml:space="preserve">RA100224</t>
  </si>
  <si>
    <t xml:space="preserve">Investor 6 Portfolio</t>
  </si>
  <si>
    <t xml:space="preserve">Willow EV</t>
  </si>
  <si>
    <t xml:space="preserve">L100225</t>
  </si>
  <si>
    <t xml:space="preserve">EV charging</t>
  </si>
  <si>
    <t xml:space="preserve">CR1022</t>
  </si>
  <si>
    <t xml:space="preserve">PI2022</t>
  </si>
  <si>
    <t xml:space="preserve">Willow EV Finance Ltd</t>
  </si>
  <si>
    <t xml:space="preserve">Willow EV Finance</t>
  </si>
  <si>
    <t xml:space="preserve">529900SYNTH000000022</t>
  </si>
  <si>
    <t xml:space="preserve">RA100225</t>
  </si>
  <si>
    <t xml:space="preserve">Zenith Education A</t>
  </si>
  <si>
    <t xml:space="preserve">L100226</t>
  </si>
  <si>
    <t xml:space="preserve">Education (PPP)</t>
  </si>
  <si>
    <t xml:space="preserve">CR1023</t>
  </si>
  <si>
    <t xml:space="preserve">PI2023</t>
  </si>
  <si>
    <t xml:space="preserve">Atlas Core Funds</t>
  </si>
  <si>
    <t xml:space="preserve">Zenith Education Finance Ltd</t>
  </si>
  <si>
    <t xml:space="preserve">Zenith Education Finance</t>
  </si>
  <si>
    <t xml:space="preserve">529900SYNTH000000023</t>
  </si>
  <si>
    <t xml:space="preserve">RA100226</t>
  </si>
  <si>
    <t xml:space="preserve">Zenith Education B</t>
  </si>
  <si>
    <t xml:space="preserve">L100227</t>
  </si>
  <si>
    <t xml:space="preserve">RA100227</t>
  </si>
  <si>
    <t xml:space="preserve">Alder Offshore A</t>
  </si>
  <si>
    <t xml:space="preserve">L100228</t>
  </si>
  <si>
    <t xml:space="preserve">CR1024</t>
  </si>
  <si>
    <t xml:space="preserve">PI2024</t>
  </si>
  <si>
    <t xml:space="preserve">Alder Offshore Finance Ltd</t>
  </si>
  <si>
    <t xml:space="preserve">Alder Offshore Finance</t>
  </si>
  <si>
    <t xml:space="preserve">529900SYNTH000000024</t>
  </si>
  <si>
    <t xml:space="preserve">RA100228</t>
  </si>
  <si>
    <t xml:space="preserve">Alder Offshore B</t>
  </si>
  <si>
    <t xml:space="preserve">L100229</t>
  </si>
  <si>
    <t xml:space="preserve">RA100229</t>
  </si>
  <si>
    <t xml:space="preserve">Birch Ports</t>
  </si>
  <si>
    <t xml:space="preserve">L100230</t>
  </si>
  <si>
    <t xml:space="preserve">US</t>
  </si>
  <si>
    <t xml:space="preserve">United States</t>
  </si>
  <si>
    <t xml:space="preserve">Ports</t>
  </si>
  <si>
    <t xml:space="preserve">CR1025</t>
  </si>
  <si>
    <t xml:space="preserve">PI2025</t>
  </si>
  <si>
    <t xml:space="preserve">Birch Ports Finance Ltd</t>
  </si>
  <si>
    <t xml:space="preserve">Birch Ports Finance</t>
  </si>
  <si>
    <t xml:space="preserve">529900SYNTH000000025</t>
  </si>
  <si>
    <t xml:space="preserve">RA100230</t>
  </si>
  <si>
    <t xml:space="preserve">Cobalt Telecom</t>
  </si>
  <si>
    <t xml:space="preserve">L100231</t>
  </si>
  <si>
    <t xml:space="preserve">CR1026</t>
  </si>
  <si>
    <t xml:space="preserve">PI2026</t>
  </si>
  <si>
    <t xml:space="preserve">Lumen Grid</t>
  </si>
  <si>
    <t xml:space="preserve">Cobalt Telecom Finance Ltd</t>
  </si>
  <si>
    <t xml:space="preserve">Cobalt Telecom Finance</t>
  </si>
  <si>
    <t xml:space="preserve">529900SYNTH000000026</t>
  </si>
  <si>
    <t xml:space="preserve">RA100231</t>
  </si>
  <si>
    <t xml:space="preserve">Dune Gas</t>
  </si>
  <si>
    <t xml:space="preserve">L100232</t>
  </si>
  <si>
    <t xml:space="preserve">CR1027</t>
  </si>
  <si>
    <t xml:space="preserve">PI2027</t>
  </si>
  <si>
    <t xml:space="preserve">Dune Gas Finance Ltd</t>
  </si>
  <si>
    <t xml:space="preserve">Dune Gas Finance</t>
  </si>
  <si>
    <t xml:space="preserve">529900SYNTH000000027</t>
  </si>
  <si>
    <t xml:space="preserve">RA100232</t>
  </si>
  <si>
    <t xml:space="preserve">Echo District</t>
  </si>
  <si>
    <t xml:space="preserve">L100233</t>
  </si>
  <si>
    <t xml:space="preserve">District heating</t>
  </si>
  <si>
    <t xml:space="preserve">CR1028</t>
  </si>
  <si>
    <t xml:space="preserve">PI2028</t>
  </si>
  <si>
    <t xml:space="preserve">Echo District Finance Ltd</t>
  </si>
  <si>
    <t xml:space="preserve">Echo District Finance</t>
  </si>
  <si>
    <t xml:space="preserve">529900SYNTH000000028</t>
  </si>
  <si>
    <t xml:space="preserve">RA100233</t>
  </si>
  <si>
    <t xml:space="preserve">Fjord Student</t>
  </si>
  <si>
    <t xml:space="preserve">L100234</t>
  </si>
  <si>
    <t xml:space="preserve">CR1029</t>
  </si>
  <si>
    <t xml:space="preserve">PI2029</t>
  </si>
  <si>
    <t xml:space="preserve">Fjord Student Finance Ltd</t>
  </si>
  <si>
    <t xml:space="preserve">Fjord Student Finance</t>
  </si>
  <si>
    <t xml:space="preserve">529900SYNTH000000029</t>
  </si>
  <si>
    <t xml:space="preserve">RA100234</t>
  </si>
  <si>
    <t xml:space="preserve">Glacier Hydro</t>
  </si>
  <si>
    <t xml:space="preserve">L100235</t>
  </si>
  <si>
    <t xml:space="preserve">BE</t>
  </si>
  <si>
    <t xml:space="preserve">Belgium</t>
  </si>
  <si>
    <t xml:space="preserve">CR1030</t>
  </si>
  <si>
    <t xml:space="preserve">PI2030</t>
  </si>
  <si>
    <t xml:space="preserve">Glacier Hydro Finance Ltd</t>
  </si>
  <si>
    <t xml:space="preserve">Glacier Hydro Finance</t>
  </si>
  <si>
    <t xml:space="preserve">529900SYNTH000000030</t>
  </si>
  <si>
    <t xml:space="preserve">RA100235</t>
  </si>
  <si>
    <t xml:space="preserve">Horizon Airports</t>
  </si>
  <si>
    <t xml:space="preserve">L100236</t>
  </si>
  <si>
    <t xml:space="preserve">AU</t>
  </si>
  <si>
    <t xml:space="preserve">Australia</t>
  </si>
  <si>
    <t xml:space="preserve">CR1031</t>
  </si>
  <si>
    <t xml:space="preserve">AUD</t>
  </si>
  <si>
    <t xml:space="preserve">PI2031</t>
  </si>
  <si>
    <t xml:space="preserve">Horizon Airports Finance Ltd</t>
  </si>
  <si>
    <t xml:space="preserve">Horizon Airports Finance</t>
  </si>
  <si>
    <t xml:space="preserve">529900SYNTH000000031</t>
  </si>
  <si>
    <t xml:space="preserve">RA100236</t>
  </si>
  <si>
    <t xml:space="preserve">Indigo Fibre</t>
  </si>
  <si>
    <t xml:space="preserve">L100237</t>
  </si>
  <si>
    <t xml:space="preserve">CR1032</t>
  </si>
  <si>
    <t xml:space="preserve">PI2032</t>
  </si>
  <si>
    <t xml:space="preserve">Indigo Fibre Finance Ltd</t>
  </si>
  <si>
    <t xml:space="preserve">Indigo Fibre Finance</t>
  </si>
  <si>
    <t xml:space="preserve">529900SYNTH000000032</t>
  </si>
  <si>
    <t xml:space="preserve">RA100237</t>
  </si>
  <si>
    <t xml:space="preserve">Jade Gas</t>
  </si>
  <si>
    <t xml:space="preserve">L100238</t>
  </si>
  <si>
    <t xml:space="preserve">CR1033</t>
  </si>
  <si>
    <t xml:space="preserve">PI2033</t>
  </si>
  <si>
    <t xml:space="preserve">Jade Gas Finance Ltd</t>
  </si>
  <si>
    <t xml:space="preserve">Jade Gas Finance</t>
  </si>
  <si>
    <t xml:space="preserve">529900SYNTH000000033</t>
  </si>
  <si>
    <t xml:space="preserve">RA100238</t>
  </si>
  <si>
    <t xml:space="preserve">Kite District A</t>
  </si>
  <si>
    <t xml:space="preserve">L100239</t>
  </si>
  <si>
    <t xml:space="preserve">CR1034</t>
  </si>
  <si>
    <t xml:space="preserve">PI2034</t>
  </si>
  <si>
    <t xml:space="preserve">Kite District Finance Ltd</t>
  </si>
  <si>
    <t xml:space="preserve">Kite District Finance</t>
  </si>
  <si>
    <t xml:space="preserve">529900SYNTH000000034</t>
  </si>
  <si>
    <t xml:space="preserve">RA100239</t>
  </si>
  <si>
    <t xml:space="preserve">Kite District B</t>
  </si>
  <si>
    <t xml:space="preserve">L100240</t>
  </si>
  <si>
    <t xml:space="preserve">RA100240</t>
  </si>
  <si>
    <t xml:space="preserve">Lantern Hospitals</t>
  </si>
  <si>
    <t xml:space="preserve">L100241</t>
  </si>
  <si>
    <t xml:space="preserve">CR1035</t>
  </si>
  <si>
    <t xml:space="preserve">PI2035</t>
  </si>
  <si>
    <t xml:space="preserve">Lantern Hospitals Finance Ltd</t>
  </si>
  <si>
    <t xml:space="preserve">Lantern Hospitals Finance</t>
  </si>
  <si>
    <t xml:space="preserve">529900SYNTH000000035</t>
  </si>
  <si>
    <t xml:space="preserve">RA100241</t>
  </si>
  <si>
    <t xml:space="preserve">Mistral Solar</t>
  </si>
  <si>
    <t xml:space="preserve">L100242</t>
  </si>
  <si>
    <t xml:space="preserve">CR1036</t>
  </si>
  <si>
    <t xml:space="preserve">PI2036</t>
  </si>
  <si>
    <t xml:space="preserve">Mistral Solar Finance Ltd</t>
  </si>
  <si>
    <t xml:space="preserve">Mistral Solar Finance</t>
  </si>
  <si>
    <t xml:space="preserve">529900SYNTH000000036</t>
  </si>
  <si>
    <t xml:space="preserve">RA100242</t>
  </si>
  <si>
    <t xml:space="preserve">Nova Ports</t>
  </si>
  <si>
    <t xml:space="preserve">L100243</t>
  </si>
  <si>
    <t xml:space="preserve">CR1037</t>
  </si>
  <si>
    <t xml:space="preserve">PI2037</t>
  </si>
  <si>
    <t xml:space="preserve">Nova Ports Finance Ltd</t>
  </si>
  <si>
    <t xml:space="preserve">Nova Ports Finance</t>
  </si>
  <si>
    <t xml:space="preserve">529900SYNTH000000037</t>
  </si>
  <si>
    <t xml:space="preserve">RA100243</t>
  </si>
  <si>
    <t xml:space="preserve">Opal Telecom</t>
  </si>
  <si>
    <t xml:space="preserve">L100244</t>
  </si>
  <si>
    <t xml:space="preserve">CR1038</t>
  </si>
  <si>
    <t xml:space="preserve">PI2038</t>
  </si>
  <si>
    <t xml:space="preserve">Opal Telecom Finance Ltd</t>
  </si>
  <si>
    <t xml:space="preserve">Opal Telecom Finance</t>
  </si>
  <si>
    <t xml:space="preserve">529900SYNTH000000038</t>
  </si>
  <si>
    <t xml:space="preserve">RA100244</t>
  </si>
  <si>
    <t xml:space="preserve">Prism Gas A</t>
  </si>
  <si>
    <t xml:space="preserve">L100245</t>
  </si>
  <si>
    <t xml:space="preserve">CR1039</t>
  </si>
  <si>
    <t xml:space="preserve">PI2039</t>
  </si>
  <si>
    <t xml:space="preserve">Prism Gas Finance Ltd</t>
  </si>
  <si>
    <t xml:space="preserve">Prism Gas Finance</t>
  </si>
  <si>
    <t xml:space="preserve">529900SYNTH000000039</t>
  </si>
  <si>
    <t xml:space="preserve">RA100245</t>
  </si>
  <si>
    <t xml:space="preserve">A-</t>
  </si>
  <si>
    <t xml:space="preserve">Prism Gas B</t>
  </si>
  <si>
    <t xml:space="preserve">L100246</t>
  </si>
  <si>
    <t xml:space="preserve">RA100246</t>
  </si>
  <si>
    <t xml:space="preserve">Quill District</t>
  </si>
  <si>
    <t xml:space="preserve">L100247</t>
  </si>
  <si>
    <t xml:space="preserve">CR1040</t>
  </si>
  <si>
    <t xml:space="preserve">PI2040</t>
  </si>
  <si>
    <t xml:space="preserve">Quill District Finance Ltd</t>
  </si>
  <si>
    <t xml:space="preserve">Quill District Finance</t>
  </si>
  <si>
    <t xml:space="preserve">529900SYNTH000000040</t>
  </si>
  <si>
    <t xml:space="preserve">RA100247</t>
  </si>
  <si>
    <t xml:space="preserve">Rowan Student A</t>
  </si>
  <si>
    <t xml:space="preserve">L100248</t>
  </si>
  <si>
    <t xml:space="preserve">CR1041</t>
  </si>
  <si>
    <t xml:space="preserve">PI2041</t>
  </si>
  <si>
    <t xml:space="preserve">Rowan Student Finance Ltd</t>
  </si>
  <si>
    <t xml:space="preserve">Rowan Student Finance</t>
  </si>
  <si>
    <t xml:space="preserve">529900SYNTH000000041</t>
  </si>
  <si>
    <t xml:space="preserve">RA100248</t>
  </si>
  <si>
    <t xml:space="preserve">A+</t>
  </si>
  <si>
    <t xml:space="preserve">Rowan Student B</t>
  </si>
  <si>
    <t xml:space="preserve">L100249</t>
  </si>
  <si>
    <t xml:space="preserve">RA100249</t>
  </si>
  <si>
    <t xml:space="preserve">Sable Solar</t>
  </si>
  <si>
    <t xml:space="preserve">L100250</t>
  </si>
  <si>
    <t xml:space="preserve">CR1042</t>
  </si>
  <si>
    <t xml:space="preserve">PI2042</t>
  </si>
  <si>
    <t xml:space="preserve">Sable Solar Finance Ltd</t>
  </si>
  <si>
    <t xml:space="preserve">Sable Solar Finance</t>
  </si>
  <si>
    <t xml:space="preserve">529900SYNTH000000042</t>
  </si>
  <si>
    <t xml:space="preserve">RA100250</t>
  </si>
  <si>
    <t xml:space="preserve">Tundra Ports</t>
  </si>
  <si>
    <t xml:space="preserve">L100251</t>
  </si>
  <si>
    <t xml:space="preserve">CR1043</t>
  </si>
  <si>
    <t xml:space="preserve">PI2043</t>
  </si>
  <si>
    <t xml:space="preserve">Tundra Ports Finance Ltd</t>
  </si>
  <si>
    <t xml:space="preserve">Tundra Ports Finance</t>
  </si>
  <si>
    <t xml:space="preserve">529900SYNTH000000043</t>
  </si>
  <si>
    <t xml:space="preserve">RA100251</t>
  </si>
  <si>
    <t xml:space="preserve">Ultra Fibre</t>
  </si>
  <si>
    <t xml:space="preserve">L100252</t>
  </si>
  <si>
    <t xml:space="preserve">CR1044</t>
  </si>
  <si>
    <t xml:space="preserve">PI2044</t>
  </si>
  <si>
    <t xml:space="preserve">Ultra Fibre Finance Ltd</t>
  </si>
  <si>
    <t xml:space="preserve">Ultra Fibre Finance</t>
  </si>
  <si>
    <t xml:space="preserve">529900SYNTH000000044</t>
  </si>
  <si>
    <t xml:space="preserve">RA100252</t>
  </si>
  <si>
    <t xml:space="preserve">Vale Water</t>
  </si>
  <si>
    <t xml:space="preserve">L100253</t>
  </si>
  <si>
    <t xml:space="preserve">CR1045</t>
  </si>
  <si>
    <t xml:space="preserve">PI2045</t>
  </si>
  <si>
    <t xml:space="preserve">Vale Water Finance Ltd</t>
  </si>
  <si>
    <t xml:space="preserve">Vale Water Finance</t>
  </si>
  <si>
    <t xml:space="preserve">529900SYNTH000000045</t>
  </si>
  <si>
    <t xml:space="preserve">RA100253</t>
  </si>
  <si>
    <t xml:space="preserve">Wren EV</t>
  </si>
  <si>
    <t xml:space="preserve">L100254</t>
  </si>
  <si>
    <t xml:space="preserve">CR1046</t>
  </si>
  <si>
    <t xml:space="preserve">PI2046</t>
  </si>
  <si>
    <t xml:space="preserve">Wren EV Finance Ltd</t>
  </si>
  <si>
    <t xml:space="preserve">Wren EV Finance</t>
  </si>
  <si>
    <t xml:space="preserve">529900SYNTH000000046</t>
  </si>
  <si>
    <t xml:space="preserve">RA100254</t>
  </si>
  <si>
    <t xml:space="preserve">Yarrow Hospitals</t>
  </si>
  <si>
    <t xml:space="preserve">L100255</t>
  </si>
  <si>
    <t xml:space="preserve">CR1047</t>
  </si>
  <si>
    <t xml:space="preserve">PI2047</t>
  </si>
  <si>
    <t xml:space="preserve">Yarrow Hospitals Finance Ltd</t>
  </si>
  <si>
    <t xml:space="preserve">Yarrow Hospitals Finance</t>
  </si>
  <si>
    <t xml:space="preserve">529900SYNTH000000047</t>
  </si>
  <si>
    <t xml:space="preserve">RA100255</t>
  </si>
  <si>
    <t xml:space="preserve">Unmapped Holding One</t>
  </si>
  <si>
    <t xml:space="preserve">L999001</t>
  </si>
  <si>
    <t xml:space="preserve">RA999001</t>
  </si>
  <si>
    <t xml:space="preserve">Unmapped Holding Two</t>
  </si>
  <si>
    <t xml:space="preserve">L999002</t>
  </si>
  <si>
    <t xml:space="preserve">RA999002</t>
  </si>
  <si>
    <t xml:space="preserve">NOK</t>
  </si>
  <si>
    <t xml:space="preserve">0x0</t>
  </si>
  <si>
    <t xml:space="preserve">References</t>
  </si>
  <si>
    <t xml:space="preserve">Active Assets</t>
  </si>
  <si>
    <t xml:space="preserve">Security Mapping</t>
  </si>
  <si>
    <t xml:space="preserve">Funding Name</t>
  </si>
  <si>
    <t xml:space="preserve">Investment Grade Mapping</t>
  </si>
  <si>
    <t xml:space="preserve">Fund Check</t>
  </si>
  <si>
    <t xml:space="preserve">Columns in Holdings tab</t>
  </si>
  <si>
    <t xml:space="preserve">Output Names</t>
  </si>
  <si>
    <t xml:space="preserve">Views (Portfolios / Investors)</t>
  </si>
  <si>
    <t xml:space="preserve">List</t>
  </si>
  <si>
    <t xml:space="preserve">Mapping</t>
  </si>
  <si>
    <t xml:space="preserve">Active Assets Output</t>
  </si>
  <si>
    <t xml:space="preserve">Selected Assets</t>
  </si>
  <si>
    <t xml:space="preserve">Number</t>
  </si>
  <si>
    <t xml:space="preserve">Holdings Name</t>
  </si>
  <si>
    <t xml:space="preserve">Holding ID</t>
  </si>
  <si>
    <t xml:space="preserve">Transaction Group</t>
  </si>
  <si>
    <t xml:space="preserve">Fund Name</t>
  </si>
  <si>
    <t xml:space="preserve">Holdings ID</t>
  </si>
  <si>
    <t xml:space="preserve">Rating</t>
  </si>
  <si>
    <t xml:space="preserve">Score</t>
  </si>
  <si>
    <t xml:space="preserve">Scale</t>
  </si>
  <si>
    <t xml:space="preserve">Holdings</t>
  </si>
  <si>
    <t xml:space="preserve">Check</t>
  </si>
  <si>
    <t xml:space="preserve">Total platform</t>
  </si>
  <si>
    <t xml:space="preserve">AURO01</t>
  </si>
  <si>
    <t xml:space="preserve">TG-001</t>
  </si>
  <si>
    <t xml:space="preserve">Investor 1</t>
  </si>
  <si>
    <t xml:space="preserve">AAA</t>
  </si>
  <si>
    <t xml:space="preserve">S&amp;P / Fitch</t>
  </si>
  <si>
    <t xml:space="preserve">Fund 1</t>
  </si>
  <si>
    <t xml:space="preserve">Group</t>
  </si>
  <si>
    <t xml:space="preserve">BEAC02</t>
  </si>
  <si>
    <t xml:space="preserve">Investor 2</t>
  </si>
  <si>
    <t xml:space="preserve">AA+</t>
  </si>
  <si>
    <t xml:space="preserve">Fund 2</t>
  </si>
  <si>
    <t xml:space="preserve">Region A</t>
  </si>
  <si>
    <t xml:space="preserve">CASC03</t>
  </si>
  <si>
    <t xml:space="preserve">TG-002</t>
  </si>
  <si>
    <t xml:space="preserve">Investor 3</t>
  </si>
  <si>
    <t xml:space="preserve">Fund 3</t>
  </si>
  <si>
    <t xml:space="preserve">Investor 1 incl. part in funds</t>
  </si>
  <si>
    <t xml:space="preserve">DELT04</t>
  </si>
  <si>
    <t xml:space="preserve">Delta Water</t>
  </si>
  <si>
    <t xml:space="preserve">Investor 4</t>
  </si>
  <si>
    <t xml:space="preserve">Fund 4</t>
  </si>
  <si>
    <t xml:space="preserve">Investor 2 incl. part in funds</t>
  </si>
  <si>
    <t xml:space="preserve">EMBE05</t>
  </si>
  <si>
    <t xml:space="preserve">Investor 5</t>
  </si>
  <si>
    <t xml:space="preserve">Fund 5</t>
  </si>
  <si>
    <t xml:space="preserve">Region A incl. part in funds</t>
  </si>
  <si>
    <t xml:space="preserve">FALC06</t>
  </si>
  <si>
    <t xml:space="preserve">Ember Battery</t>
  </si>
  <si>
    <t xml:space="preserve">TG-003</t>
  </si>
  <si>
    <t xml:space="preserve">Investor 6</t>
  </si>
  <si>
    <t xml:space="preserve">Fund 6</t>
  </si>
  <si>
    <t xml:space="preserve">Instrument</t>
  </si>
  <si>
    <t xml:space="preserve">GRAN07</t>
  </si>
  <si>
    <t xml:space="preserve">Investor 7</t>
  </si>
  <si>
    <t xml:space="preserve">Fund 7</t>
  </si>
  <si>
    <t xml:space="preserve">Bullet</t>
  </si>
  <si>
    <t xml:space="preserve">HARB08</t>
  </si>
  <si>
    <t xml:space="preserve">Investor 8</t>
  </si>
  <si>
    <t xml:space="preserve">Country</t>
  </si>
  <si>
    <t xml:space="preserve">Investor 11</t>
  </si>
  <si>
    <t xml:space="preserve">IRIS09</t>
  </si>
  <si>
    <t xml:space="preserve">TG-004</t>
  </si>
  <si>
    <t xml:space="preserve">Investor 9</t>
  </si>
  <si>
    <t xml:space="preserve">Investor 12</t>
  </si>
  <si>
    <t xml:space="preserve">JUNI10</t>
  </si>
  <si>
    <t xml:space="preserve">Investor 10</t>
  </si>
  <si>
    <t xml:space="preserve">Currency</t>
  </si>
  <si>
    <t xml:space="preserve">KEST11</t>
  </si>
  <si>
    <t xml:space="preserve">TG-005</t>
  </si>
  <si>
    <t xml:space="preserve">FX Rate</t>
  </si>
  <si>
    <t xml:space="preserve">LUME12</t>
  </si>
  <si>
    <t xml:space="preserve">Commitment</t>
  </si>
  <si>
    <t xml:space="preserve">MERI13</t>
  </si>
  <si>
    <t xml:space="preserve">TG-006</t>
  </si>
  <si>
    <t xml:space="preserve">Investor 13</t>
  </si>
  <si>
    <t xml:space="preserve">Nominal</t>
  </si>
  <si>
    <t xml:space="preserve">NIMB14</t>
  </si>
  <si>
    <t xml:space="preserve">Lumen Hospitals</t>
  </si>
  <si>
    <t xml:space="preserve">Investor 14</t>
  </si>
  <si>
    <t xml:space="preserve">B+</t>
  </si>
  <si>
    <t xml:space="preserve">Drawn</t>
  </si>
  <si>
    <t xml:space="preserve">ORIO15</t>
  </si>
  <si>
    <t xml:space="preserve">Investor 15</t>
  </si>
  <si>
    <t xml:space="preserve">B</t>
  </si>
  <si>
    <t xml:space="preserve">Nominal RC</t>
  </si>
  <si>
    <t xml:space="preserve">PION16</t>
  </si>
  <si>
    <t xml:space="preserve">TG-007</t>
  </si>
  <si>
    <t xml:space="preserve">Investor 16</t>
  </si>
  <si>
    <t xml:space="preserve">B-</t>
  </si>
  <si>
    <t xml:space="preserve">QUAR17</t>
  </si>
  <si>
    <t xml:space="preserve">Investor 17</t>
  </si>
  <si>
    <t xml:space="preserve">CCC+</t>
  </si>
  <si>
    <t xml:space="preserve">RIDG18</t>
  </si>
  <si>
    <t xml:space="preserve">TG-008</t>
  </si>
  <si>
    <t xml:space="preserve">Investor 18</t>
  </si>
  <si>
    <t xml:space="preserve">CCC</t>
  </si>
  <si>
    <t xml:space="preserve">Parent Issuer</t>
  </si>
  <si>
    <t xml:space="preserve">SUMM19</t>
  </si>
  <si>
    <t xml:space="preserve">Investor 19</t>
  </si>
  <si>
    <t xml:space="preserve">Aaa</t>
  </si>
  <si>
    <t xml:space="preserve">Moody's</t>
  </si>
  <si>
    <t xml:space="preserve">TIDA20</t>
  </si>
  <si>
    <t xml:space="preserve">TG-009</t>
  </si>
  <si>
    <t xml:space="preserve">Investor 20</t>
  </si>
  <si>
    <t xml:space="preserve">Aa1</t>
  </si>
  <si>
    <t xml:space="preserve">UMBR21</t>
  </si>
  <si>
    <t xml:space="preserve">Aa2</t>
  </si>
  <si>
    <t xml:space="preserve">VERT22</t>
  </si>
  <si>
    <t xml:space="preserve">TG-010</t>
  </si>
  <si>
    <t xml:space="preserve">Aa3</t>
  </si>
  <si>
    <t xml:space="preserve">WILL23</t>
  </si>
  <si>
    <t xml:space="preserve">A1</t>
  </si>
  <si>
    <t xml:space="preserve">Spread at Acquisition</t>
  </si>
  <si>
    <t xml:space="preserve">ZENI24</t>
  </si>
  <si>
    <t xml:space="preserve">TG-011</t>
  </si>
  <si>
    <t xml:space="preserve">A2</t>
  </si>
  <si>
    <t xml:space="preserve">ALDE25</t>
  </si>
  <si>
    <t xml:space="preserve">A3</t>
  </si>
  <si>
    <t xml:space="preserve">Internal Rating</t>
  </si>
  <si>
    <t xml:space="preserve">BIRC26</t>
  </si>
  <si>
    <t xml:space="preserve">TG-012</t>
  </si>
  <si>
    <t xml:space="preserve">Baa1</t>
  </si>
  <si>
    <t xml:space="preserve">Closing Rating</t>
  </si>
  <si>
    <t xml:space="preserve">COBA27</t>
  </si>
  <si>
    <t xml:space="preserve">Zenith Education</t>
  </si>
  <si>
    <t xml:space="preserve">Fitch</t>
  </si>
  <si>
    <t xml:space="preserve">DUNE28</t>
  </si>
  <si>
    <t xml:space="preserve">S&amp;P</t>
  </si>
  <si>
    <t xml:space="preserve">ECHO29</t>
  </si>
  <si>
    <t xml:space="preserve">Alder Offshore</t>
  </si>
  <si>
    <t xml:space="preserve">TG-013</t>
  </si>
  <si>
    <t xml:space="preserve">Ba1</t>
  </si>
  <si>
    <t xml:space="preserve">FJOR30</t>
  </si>
  <si>
    <t xml:space="preserve">Ba2</t>
  </si>
  <si>
    <t xml:space="preserve">ICR</t>
  </si>
  <si>
    <t xml:space="preserve">GLAC31</t>
  </si>
  <si>
    <t xml:space="preserve">Ba3</t>
  </si>
  <si>
    <t xml:space="preserve">LTV</t>
  </si>
  <si>
    <t xml:space="preserve">HORI32</t>
  </si>
  <si>
    <t xml:space="preserve">TG-014</t>
  </si>
  <si>
    <t xml:space="preserve">B1</t>
  </si>
  <si>
    <t xml:space="preserve">DSCR Status</t>
  </si>
  <si>
    <t xml:space="preserve">INDI33</t>
  </si>
  <si>
    <t xml:space="preserve">B2</t>
  </si>
  <si>
    <t xml:space="preserve">JADE34</t>
  </si>
  <si>
    <t xml:space="preserve">TG-015</t>
  </si>
  <si>
    <t xml:space="preserve">B3</t>
  </si>
  <si>
    <t xml:space="preserve">KITE35</t>
  </si>
  <si>
    <t xml:space="preserve">Caa1</t>
  </si>
  <si>
    <t xml:space="preserve">LANT36</t>
  </si>
  <si>
    <t xml:space="preserve">TG-016</t>
  </si>
  <si>
    <t xml:space="preserve">Caa2</t>
  </si>
  <si>
    <t xml:space="preserve">MIST37</t>
  </si>
  <si>
    <t xml:space="preserve">Not rated</t>
  </si>
  <si>
    <t xml:space="preserve">NOVA38</t>
  </si>
  <si>
    <t xml:space="preserve">TG-017</t>
  </si>
  <si>
    <t xml:space="preserve">OPAL39</t>
  </si>
  <si>
    <t xml:space="preserve">PRIS40</t>
  </si>
  <si>
    <t xml:space="preserve">Kite District</t>
  </si>
  <si>
    <t xml:space="preserve">TG-018</t>
  </si>
  <si>
    <t xml:space="preserve">QUIL41</t>
  </si>
  <si>
    <t xml:space="preserve">ROWA42</t>
  </si>
  <si>
    <t xml:space="preserve">SABL43</t>
  </si>
  <si>
    <t xml:space="preserve">TG-019</t>
  </si>
  <si>
    <t xml:space="preserve">TUND44</t>
  </si>
  <si>
    <t xml:space="preserve">ULTR45</t>
  </si>
  <si>
    <t xml:space="preserve">TG-020</t>
  </si>
  <si>
    <t xml:space="preserve">VALE46</t>
  </si>
  <si>
    <t xml:space="preserve">Prism Gas</t>
  </si>
  <si>
    <t xml:space="preserve">WREN47</t>
  </si>
  <si>
    <t xml:space="preserve">TG-021</t>
  </si>
  <si>
    <t xml:space="preserve">Rowan Student</t>
  </si>
  <si>
    <t xml:space="preserve">TG-022</t>
  </si>
  <si>
    <t xml:space="preserve">TG-023</t>
  </si>
  <si>
    <t xml:space="preserve">TG-024</t>
  </si>
  <si>
    <t xml:space="preserve">YARR48</t>
  </si>
  <si>
    <t xml:space="preserve">Project Code</t>
  </si>
  <si>
    <t xml:space="preserve">Chronological Order</t>
  </si>
  <si>
    <t xml:space="preserve">Subsector</t>
  </si>
  <si>
    <t xml:space="preserve">Cashflow Type</t>
  </si>
  <si>
    <t xml:space="preserve">Description</t>
  </si>
  <si>
    <t xml:space="preserve">Shareholders</t>
  </si>
  <si>
    <t xml:space="preserve">Origination</t>
  </si>
  <si>
    <t xml:space="preserve">Staff Closing</t>
  </si>
  <si>
    <t xml:space="preserve">Upfront</t>
  </si>
  <si>
    <t xml:space="preserve">Prepayment Protection (1)</t>
  </si>
  <si>
    <t xml:space="preserve">Prepayment Protection (2)</t>
  </si>
  <si>
    <t xml:space="preserve">End of NC / MW</t>
  </si>
  <si>
    <t xml:space="preserve">IC Date</t>
  </si>
  <si>
    <t xml:space="preserve">Funding Date</t>
  </si>
  <si>
    <t xml:space="preserve">Total Debt Offering</t>
  </si>
  <si>
    <t xml:space="preserve">Watchlist</t>
  </si>
  <si>
    <t xml:space="preserve">Jurisdiction Tier - Group</t>
  </si>
  <si>
    <t xml:space="preserve">Investor 21 Classification</t>
  </si>
  <si>
    <t xml:space="preserve">Investor 21 FX for GBP</t>
  </si>
  <si>
    <t xml:space="preserve">TICCS Code</t>
  </si>
  <si>
    <t xml:space="preserve">Investor 14 Sector Classification</t>
  </si>
  <si>
    <t xml:space="preserve">Investor 15 Country Tier</t>
  </si>
  <si>
    <t xml:space="preserve">Compliance with Financial Covenants</t>
  </si>
  <si>
    <t xml:space="preserve">Project Name</t>
  </si>
  <si>
    <t xml:space="preserve">Investor 21 Sector Classification</t>
  </si>
  <si>
    <t xml:space="preserve">Investor 21 FX for GBP / EUR</t>
  </si>
  <si>
    <t xml:space="preserve">Brownfield education (ppp) loan financing in Spain. SYNTHETIC.</t>
  </si>
  <si>
    <t xml:space="preserve">Secondary</t>
  </si>
  <si>
    <t xml:space="preserve">Make-whole</t>
  </si>
  <si>
    <t xml:space="preserve">Non-call period</t>
  </si>
  <si>
    <t xml:space="preserve">No</t>
  </si>
  <si>
    <t xml:space="preserve">Tier 2</t>
  </si>
  <si>
    <t xml:space="preserve">Core</t>
  </si>
  <si>
    <t xml:space="preserve">Social</t>
  </si>
  <si>
    <t xml:space="preserve">TICCS-323</t>
  </si>
  <si>
    <t xml:space="preserve">Tier 3</t>
  </si>
  <si>
    <t xml:space="preserve">Waiver</t>
  </si>
  <si>
    <t xml:space="preserve">Sculpted</t>
  </si>
  <si>
    <t xml:space="preserve">Brownfield hydro loan financing in Ireland. SYNTHETIC.</t>
  </si>
  <si>
    <t xml:space="preserve">Primary</t>
  </si>
  <si>
    <t xml:space="preserve">None</t>
  </si>
  <si>
    <t xml:space="preserve">Renewables</t>
  </si>
  <si>
    <t xml:space="preserve">TICCS-306</t>
  </si>
  <si>
    <t xml:space="preserve">Annuity</t>
  </si>
  <si>
    <t xml:space="preserve">Brownfield gas distribution loan financing in Switzerland. SYNTHETIC.</t>
  </si>
  <si>
    <t xml:space="preserve">Tier 1</t>
  </si>
  <si>
    <t xml:space="preserve">Utilities</t>
  </si>
  <si>
    <t xml:space="preserve">TICCS-315</t>
  </si>
  <si>
    <t xml:space="preserve">Yes</t>
  </si>
  <si>
    <t xml:space="preserve">Brownfield airports loan financing in Ireland. SYNTHETIC.</t>
  </si>
  <si>
    <t xml:space="preserve">Core+</t>
  </si>
  <si>
    <t xml:space="preserve">Transport</t>
  </si>
  <si>
    <t xml:space="preserve">TICCS-313</t>
  </si>
  <si>
    <t xml:space="preserve">Greenfield offshore wind private placement note financing in Germany. SYNTHETIC.</t>
  </si>
  <si>
    <t xml:space="preserve">TICCS-300</t>
  </si>
  <si>
    <t xml:space="preserve">Brownfield ports loan financing in United States. SYNTHETIC.</t>
  </si>
  <si>
    <t xml:space="preserve">TICCS-325</t>
  </si>
  <si>
    <t xml:space="preserve">Brownfield solar pv private placement note financing in United Kingdom. SYNTHETIC.</t>
  </si>
  <si>
    <t xml:space="preserve">TICCS-336</t>
  </si>
  <si>
    <t xml:space="preserve">Brownfield fibre networks loan financing in United Kingdom. SYNTHETIC.</t>
  </si>
  <si>
    <t xml:space="preserve">Digital</t>
  </si>
  <si>
    <t xml:space="preserve">TICCS-308</t>
  </si>
  <si>
    <t xml:space="preserve">Brownfield solar pv loan financing in Ireland. SYNTHETIC.</t>
  </si>
  <si>
    <t xml:space="preserve">TICCS-312</t>
  </si>
  <si>
    <t xml:space="preserve">Brownfield ports loan financing in United Kingdom. SYNTHETIC.</t>
  </si>
  <si>
    <t xml:space="preserve">TICCS-343</t>
  </si>
  <si>
    <t xml:space="preserve">Brownfield water loan financing in Sweden. SYNTHETIC.</t>
  </si>
  <si>
    <t xml:space="preserve">TICCS-345</t>
  </si>
  <si>
    <t xml:space="preserve">Brownfield hospitals (ppp) loan financing in Sweden. SYNTHETIC.</t>
  </si>
  <si>
    <t xml:space="preserve">TICCS-347</t>
  </si>
  <si>
    <t xml:space="preserve">Brownfield gas distribution loan financing in Sweden. SYNTHETIC.</t>
  </si>
  <si>
    <t xml:space="preserve">TICCS-333</t>
  </si>
  <si>
    <t xml:space="preserve">Brownfield hospitals (ppp) loan financing in Ireland. SYNTHETIC.</t>
  </si>
  <si>
    <t xml:space="preserve">TICCS-335</t>
  </si>
  <si>
    <t xml:space="preserve">Brownfield district heating loan financing in Ireland. SYNTHETIC.</t>
  </si>
  <si>
    <t xml:space="preserve">Intensive</t>
  </si>
  <si>
    <t xml:space="preserve">Energy transition</t>
  </si>
  <si>
    <t xml:space="preserve">TICCS-328</t>
  </si>
  <si>
    <t xml:space="preserve">Brownfield student accommodation loan financing in Australia. SYNTHETIC.</t>
  </si>
  <si>
    <t xml:space="preserve">TICCS-341</t>
  </si>
  <si>
    <t xml:space="preserve">Brownfield solar pv loan financing in Portugal. SYNTHETIC.</t>
  </si>
  <si>
    <t xml:space="preserve">TICCS-342</t>
  </si>
  <si>
    <t xml:space="preserve">Brownfield telecom towers loan financing in Germany. SYNTHETIC.</t>
  </si>
  <si>
    <t xml:space="preserve">TICCS-302</t>
  </si>
  <si>
    <t xml:space="preserve">Brownfield battery storage private placement note financing in Germany. SYNTHETIC.</t>
  </si>
  <si>
    <t xml:space="preserve">TICCS-316</t>
  </si>
  <si>
    <t xml:space="preserve">Brownfield offshore wind private placement note financing in Netherlands. SYNTHETIC.</t>
  </si>
  <si>
    <t xml:space="preserve">TICCS-324</t>
  </si>
  <si>
    <t xml:space="preserve">Greenfield ev charging private placement note financing in Ireland. SYNTHETIC.</t>
  </si>
  <si>
    <t xml:space="preserve">TICCS-346</t>
  </si>
  <si>
    <t xml:space="preserve">Greenfield gas distribution loan financing in Portugal. SYNTHETIC.</t>
  </si>
  <si>
    <t xml:space="preserve">TICCS-339</t>
  </si>
  <si>
    <t xml:space="preserve">Brownfield gas distribution private placement note financing in Netherlands. SYNTHETIC.</t>
  </si>
  <si>
    <t xml:space="preserve">TICCS-309</t>
  </si>
  <si>
    <t xml:space="preserve">Greenfield data centres loan financing in Switzerland. SYNTHETIC.</t>
  </si>
  <si>
    <t xml:space="preserve">TICCS-320</t>
  </si>
  <si>
    <t xml:space="preserve">Greenfield telecom towers loan financing in Sweden. SYNTHETIC.</t>
  </si>
  <si>
    <t xml:space="preserve">TICCS-338</t>
  </si>
  <si>
    <t xml:space="preserve">Greenfield hydro loan financing in Belgium. SYNTHETIC.</t>
  </si>
  <si>
    <t xml:space="preserve">TICCS-330</t>
  </si>
  <si>
    <t xml:space="preserve">Brownfield electricity networks loan financing in Spain. SYNTHETIC.</t>
  </si>
  <si>
    <t xml:space="preserve">TICCS-321</t>
  </si>
  <si>
    <t xml:space="preserve">Brownfield student accommodation loan financing in Sweden. SYNTHETIC.</t>
  </si>
  <si>
    <t xml:space="preserve">TICCS-317</t>
  </si>
  <si>
    <t xml:space="preserve">Brownfield fibre networks loan financing in Finland. SYNTHETIC.</t>
  </si>
  <si>
    <t xml:space="preserve">TICCS-314</t>
  </si>
  <si>
    <t xml:space="preserve">Brownfield fibre networks loan financing in Spain. SYNTHETIC.</t>
  </si>
  <si>
    <t xml:space="preserve">TICCS-344</t>
  </si>
  <si>
    <t xml:space="preserve">Brownfield district heating loan financing in France. SYNTHETIC.</t>
  </si>
  <si>
    <t xml:space="preserve">TICCS-340</t>
  </si>
  <si>
    <t xml:space="preserve">Brownfield toll roads loan financing in France. SYNTHETIC.</t>
  </si>
  <si>
    <t xml:space="preserve">TICCS-319</t>
  </si>
  <si>
    <t xml:space="preserve">Brownfield battery storage private placement note financing in Spain. SYNTHETIC.</t>
  </si>
  <si>
    <t xml:space="preserve">TICCS-310</t>
  </si>
  <si>
    <t xml:space="preserve">Brownfield airports loan financing in Australia. SYNTHETIC.</t>
  </si>
  <si>
    <t xml:space="preserve">TICCS-331</t>
  </si>
  <si>
    <t xml:space="preserve">Brownfield fibre networks private placement note financing in United Kingdom. SYNTHETIC.</t>
  </si>
  <si>
    <t xml:space="preserve">TICCS-332</t>
  </si>
  <si>
    <t xml:space="preserve">Brownfield hydro loan financing in Spain. SYNTHETIC.</t>
  </si>
  <si>
    <t xml:space="preserve">TICCS-318</t>
  </si>
  <si>
    <t xml:space="preserve">Brownfield ports loan financing in Netherlands. SYNTHETIC.</t>
  </si>
  <si>
    <t xml:space="preserve">TICCS-337</t>
  </si>
  <si>
    <t xml:space="preserve">Greenfield water private placement note financing in United Kingdom. SYNTHETIC.</t>
  </si>
  <si>
    <t xml:space="preserve">TICCS-303</t>
  </si>
  <si>
    <t xml:space="preserve">Brownfield battery storage loan financing in Italy. SYNTHETIC.</t>
  </si>
  <si>
    <t xml:space="preserve">TICCS-304</t>
  </si>
  <si>
    <t xml:space="preserve">Brownfield hospitals (ppp) loan financing in Portugal. SYNTHETIC.</t>
  </si>
  <si>
    <t xml:space="preserve">TICCS-311</t>
  </si>
  <si>
    <t xml:space="preserve">Greenfield airports loan financing in United Kingdom. SYNTHETIC.</t>
  </si>
  <si>
    <t xml:space="preserve">TICCS-301</t>
  </si>
  <si>
    <t xml:space="preserve">Greenfield ev charging loan financing in Germany. SYNTHETIC.</t>
  </si>
  <si>
    <t xml:space="preserve">TICCS-322</t>
  </si>
  <si>
    <t xml:space="preserve">Brownfield hospitals (ppp) private placement note financing in United Kingdom. SYNTHETIC.</t>
  </si>
  <si>
    <t xml:space="preserve">TICCS-305</t>
  </si>
  <si>
    <t xml:space="preserve">Brownfield gas distribution loan financing in Portugal. SYNTHETIC.</t>
  </si>
  <si>
    <t xml:space="preserve">TICCS-327</t>
  </si>
  <si>
    <t xml:space="preserve">Greenfield district heating loan financing in Switzerland. SYNTHETIC.</t>
  </si>
  <si>
    <t xml:space="preserve">TICCS-334</t>
  </si>
  <si>
    <t xml:space="preserve">Brownfield telecom towers loan financing in Portugal. SYNTHETIC.</t>
  </si>
  <si>
    <t xml:space="preserve">TICCS-326</t>
  </si>
  <si>
    <t xml:space="preserve">Brownfield toll roads loan financing in Netherlands. SYNTHETIC.</t>
  </si>
  <si>
    <t xml:space="preserve">TICCS-307</t>
  </si>
  <si>
    <t xml:space="preserve">Greenfield student accommodation loan financing in Spain. SYNTHETIC.</t>
  </si>
  <si>
    <t xml:space="preserve">TICCS-329</t>
  </si>
  <si>
    <t xml:space="preserve">Infra code</t>
  </si>
  <si>
    <t xml:space="preserve">Staff Monitoring</t>
  </si>
  <si>
    <t xml:space="preserve">E score</t>
  </si>
  <si>
    <t xml:space="preserve">S score</t>
  </si>
  <si>
    <t xml:space="preserve">G score</t>
  </si>
  <si>
    <t xml:space="preserve">ESG score</t>
  </si>
  <si>
    <t xml:space="preserve">CBI sector</t>
  </si>
  <si>
    <t xml:space="preserve">CBI subsector</t>
  </si>
  <si>
    <t xml:space="preserve">CBI subsubsector</t>
  </si>
  <si>
    <t xml:space="preserve">CBI asset type</t>
  </si>
  <si>
    <t xml:space="preserve">CBI asset specific</t>
  </si>
  <si>
    <t xml:space="preserve">GHG Scope 1</t>
  </si>
  <si>
    <t xml:space="preserve">GHG Scope 2</t>
  </si>
  <si>
    <t xml:space="preserve">GHG Scope 3</t>
  </si>
  <si>
    <t xml:space="preserve">Infra Code</t>
  </si>
  <si>
    <t xml:space="preserve">FM Monitoring</t>
  </si>
  <si>
    <t xml:space="preserve">E Score</t>
  </si>
  <si>
    <t xml:space="preserve">S Score</t>
  </si>
  <si>
    <t xml:space="preserve">G Score</t>
  </si>
  <si>
    <t xml:space="preserve">ESG Score</t>
  </si>
  <si>
    <t xml:space="preserve">CBI Sector</t>
  </si>
  <si>
    <t xml:space="preserve">CBI Subsector</t>
  </si>
  <si>
    <t xml:space="preserve">CBI Subsubsector</t>
  </si>
  <si>
    <t xml:space="preserve">CBI Asset Type</t>
  </si>
  <si>
    <t xml:space="preserve">CBI Asset Specific</t>
  </si>
  <si>
    <t xml:space="preserve">INF001</t>
  </si>
  <si>
    <t xml:space="preserve">Offshore wind assets</t>
  </si>
  <si>
    <t xml:space="preserve">Construction</t>
  </si>
  <si>
    <t xml:space="preserve">INF002</t>
  </si>
  <si>
    <t xml:space="preserve">Airports assets</t>
  </si>
  <si>
    <t xml:space="preserve">INF003</t>
  </si>
  <si>
    <t xml:space="preserve">Telecom towers assets</t>
  </si>
  <si>
    <t xml:space="preserve">Operational</t>
  </si>
  <si>
    <t xml:space="preserve">INF004</t>
  </si>
  <si>
    <t xml:space="preserve">Water assets</t>
  </si>
  <si>
    <t xml:space="preserve">INF005</t>
  </si>
  <si>
    <t xml:space="preserve">Battery storage assets</t>
  </si>
  <si>
    <t xml:space="preserve">INF006</t>
  </si>
  <si>
    <t xml:space="preserve">Hospitals (PPP) assets</t>
  </si>
  <si>
    <t xml:space="preserve">INF007</t>
  </si>
  <si>
    <t xml:space="preserve">Hydro assets</t>
  </si>
  <si>
    <t xml:space="preserve">INF008</t>
  </si>
  <si>
    <t xml:space="preserve">Toll roads assets</t>
  </si>
  <si>
    <t xml:space="preserve">INF009</t>
  </si>
  <si>
    <t xml:space="preserve">Fibre networks assets</t>
  </si>
  <si>
    <t xml:space="preserve">INF010</t>
  </si>
  <si>
    <t xml:space="preserve">Gas distribution assets</t>
  </si>
  <si>
    <t xml:space="preserve">INF011</t>
  </si>
  <si>
    <t xml:space="preserve">INF012</t>
  </si>
  <si>
    <t xml:space="preserve">INF013</t>
  </si>
  <si>
    <t xml:space="preserve">Solar PV assets</t>
  </si>
  <si>
    <t xml:space="preserve">INF015</t>
  </si>
  <si>
    <t xml:space="preserve">INF016</t>
  </si>
  <si>
    <t xml:space="preserve">INF017</t>
  </si>
  <si>
    <t xml:space="preserve">INF018</t>
  </si>
  <si>
    <t xml:space="preserve">Student accommodation assets</t>
  </si>
  <si>
    <t xml:space="preserve">INF019</t>
  </si>
  <si>
    <t xml:space="preserve">INF020</t>
  </si>
  <si>
    <t xml:space="preserve">INF021</t>
  </si>
  <si>
    <t xml:space="preserve">Data centres assets</t>
  </si>
  <si>
    <t xml:space="preserve">INF022</t>
  </si>
  <si>
    <t xml:space="preserve">Electricity networks assets</t>
  </si>
  <si>
    <t xml:space="preserve">INF023</t>
  </si>
  <si>
    <t xml:space="preserve">EV charging assets</t>
  </si>
  <si>
    <t xml:space="preserve">INF024</t>
  </si>
  <si>
    <t xml:space="preserve">Education (PPP) assets</t>
  </si>
  <si>
    <t xml:space="preserve">INF025</t>
  </si>
  <si>
    <t xml:space="preserve">INF026</t>
  </si>
  <si>
    <t xml:space="preserve">Ports assets</t>
  </si>
  <si>
    <t xml:space="preserve">INF027</t>
  </si>
  <si>
    <t xml:space="preserve">INF028</t>
  </si>
  <si>
    <t xml:space="preserve">INF029</t>
  </si>
  <si>
    <t xml:space="preserve">District heating assets</t>
  </si>
  <si>
    <t xml:space="preserve">INF030</t>
  </si>
  <si>
    <t xml:space="preserve">INF031</t>
  </si>
  <si>
    <t xml:space="preserve">INF032</t>
  </si>
  <si>
    <t xml:space="preserve">INF033</t>
  </si>
  <si>
    <t xml:space="preserve">INF034</t>
  </si>
  <si>
    <t xml:space="preserve">INF035</t>
  </si>
  <si>
    <t xml:space="preserve">INF036</t>
  </si>
  <si>
    <t xml:space="preserve">INF037</t>
  </si>
  <si>
    <t xml:space="preserve">INF038</t>
  </si>
  <si>
    <t xml:space="preserve">INF039</t>
  </si>
  <si>
    <t xml:space="preserve">INF040</t>
  </si>
  <si>
    <t xml:space="preserve">INF041</t>
  </si>
  <si>
    <t xml:space="preserve">INF042</t>
  </si>
  <si>
    <t xml:space="preserve">INF043</t>
  </si>
  <si>
    <t xml:space="preserve">INF044</t>
  </si>
  <si>
    <t xml:space="preserve">INF045</t>
  </si>
  <si>
    <t xml:space="preserve">INF046</t>
  </si>
  <si>
    <t xml:space="preserve">INF047</t>
  </si>
  <si>
    <t xml:space="preserve">INF048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</si>
</sst>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A2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2" customFormat="false" ht="15" hidden="false" customHeight="false" outlineLevel="0" collapsed="false">
      <c r="B2" s="0" t="e">
        <f aca="false">_xlfn.XLOOKUP(B3,Mapping!$C:$C,Mapping!$D:$D)</f>
        <v>#N/A</v>
      </c>
      <c r="C2" s="0" t="e">
        <f aca="false">_xlfn.XLOOKUP(C3,Mapping!$C:$C,Mapping!$D:$D)</f>
        <v>#N/A</v>
      </c>
      <c r="D2" s="0" t="e">
        <f aca="false">_xlfn.XLOOKUP(D3,Mapping!$C:$C,Mapping!$D:$D)</f>
        <v>#N/A</v>
      </c>
      <c r="E2" s="0" t="e">
        <f aca="false">_xlfn.XLOOKUP(E3,Mapping!$C:$C,Mapping!$D:$D)</f>
        <v>#N/A</v>
      </c>
      <c r="F2" s="0" t="str">
        <f aca="false">_xlfn.XLOOKUP(F3,Mapping!$C:$C,Mapping!$D:$D)</f>
        <v>Reporting Date</v>
      </c>
      <c r="G2" s="0" t="str">
        <f aca="false">_xlfn.XLOOKUP(G3,Mapping!$C:$C,Mapping!$D:$D)</f>
        <v>Model Portfolio</v>
      </c>
      <c r="H2" s="0" t="str">
        <f aca="false">_xlfn.XLOOKUP(H3,Mapping!$C:$C,Mapping!$D:$D)</f>
        <v>Portfolio</v>
      </c>
      <c r="I2" s="0" t="str">
        <f aca="false">_xlfn.XLOOKUP(I3,Mapping!$C:$C,Mapping!$D:$D)</f>
        <v>Security ID</v>
      </c>
      <c r="J2" s="0" t="str">
        <f aca="false">_xlfn.XLOOKUP(J3,Mapping!$C:$C,Mapping!$D:$D)</f>
        <v>Security Name</v>
      </c>
      <c r="K2" s="0" t="e">
        <f aca="false">_xlfn.XLOOKUP(K3,Mapping!$C:$C,Mapping!$D:$D)</f>
        <v>#N/A</v>
      </c>
      <c r="L2" s="0" t="e">
        <f aca="false">_xlfn.XLOOKUP(L3,Mapping!$C:$C,Mapping!$D:$D)</f>
        <v>#N/A</v>
      </c>
      <c r="M2" s="0" t="e">
        <f aca="false">_xlfn.XLOOKUP(M3,Mapping!$C:$C,Mapping!$D:$D)</f>
        <v>#N/A</v>
      </c>
      <c r="N2" s="0" t="e">
        <f aca="false">_xlfn.XLOOKUP(N3,Mapping!$C:$C,Mapping!$D:$D)</f>
        <v>#N/A</v>
      </c>
      <c r="O2" s="0" t="e">
        <f aca="false">_xlfn.XLOOKUP(O3,Mapping!$C:$C,Mapping!$D:$D)</f>
        <v>#N/A</v>
      </c>
      <c r="P2" s="0" t="str">
        <f aca="false">_xlfn.XLOOKUP(P3,Mapping!$C:$C,Mapping!$D:$D)</f>
        <v>Portfolio Currency</v>
      </c>
      <c r="Q2" s="0" t="str">
        <f aca="false">_xlfn.XLOOKUP(Q3,Mapping!$C:$C,Mapping!$D:$D)</f>
        <v>Instrument</v>
      </c>
      <c r="R2" s="0" t="str">
        <f aca="false">_xlfn.XLOOKUP(R3,Mapping!$C:$C,Mapping!$D:$D)</f>
        <v>Bullet</v>
      </c>
      <c r="S2" s="0" t="e">
        <f aca="false">_xlfn.XLOOKUP(S3,Mapping!$C:$C,Mapping!$D:$D)</f>
        <v>#N/A</v>
      </c>
      <c r="T2" s="0" t="e">
        <f aca="false">_xlfn.XLOOKUP(T3,Mapping!$C:$C,Mapping!$D:$D)</f>
        <v>#N/A</v>
      </c>
      <c r="U2" s="0" t="e">
        <f aca="false">_xlfn.XLOOKUP(U3,Mapping!$C:$C,Mapping!$D:$D)</f>
        <v>#N/A</v>
      </c>
      <c r="V2" s="0" t="str">
        <f aca="false">_xlfn.XLOOKUP(V3,Mapping!$C:$C,Mapping!$D:$D)</f>
        <v>Country</v>
      </c>
      <c r="W2" s="0" t="e">
        <f aca="false">_xlfn.XLOOKUP(W3,Mapping!$C:$C,Mapping!$D:$D)</f>
        <v>#N/A</v>
      </c>
      <c r="X2" s="0" t="e">
        <f aca="false">_xlfn.XLOOKUP(X3,Mapping!$C:$C,Mapping!$D:$D)</f>
        <v>#N/A</v>
      </c>
      <c r="Y2" s="0" t="str">
        <f aca="false">_xlfn.XLOOKUP(Y3,Mapping!$C:$C,Mapping!$D:$D)</f>
        <v>WAL</v>
      </c>
      <c r="Z2" s="0" t="str">
        <f aca="false">_xlfn.XLOOKUP(Z3,Mapping!$C:$C,Mapping!$D:$D)</f>
        <v>Currency</v>
      </c>
      <c r="AA2" s="0" t="str">
        <f aca="false">_xlfn.XLOOKUP(AA3,Mapping!$C:$C,Mapping!$D:$D)</f>
        <v>FX Rate</v>
      </c>
      <c r="AB2" s="0" t="e">
        <f aca="false">_xlfn.XLOOKUP(AB3,Mapping!$C:$C,Mapping!$D:$D)</f>
        <v>#N/A</v>
      </c>
      <c r="AC2" s="0" t="str">
        <f aca="false">_xlfn.XLOOKUP(AC3,Mapping!$C:$C,Mapping!$D:$D)</f>
        <v>Commitment</v>
      </c>
      <c r="AD2" s="0" t="e">
        <f aca="false">_xlfn.XLOOKUP(AD3,Mapping!$C:$C,Mapping!$D:$D)</f>
        <v>#N/A</v>
      </c>
      <c r="AE2" s="0" t="e">
        <f aca="false">_xlfn.XLOOKUP(AE3,Mapping!$C:$C,Mapping!$D:$D)</f>
        <v>#N/A</v>
      </c>
      <c r="AF2" s="0" t="e">
        <f aca="false">_xlfn.XLOOKUP(AF3,Mapping!$C:$C,Mapping!$D:$D)</f>
        <v>#N/A</v>
      </c>
      <c r="AG2" s="0" t="e">
        <f aca="false">_xlfn.XLOOKUP(AG3,Mapping!$C:$C,Mapping!$D:$D)</f>
        <v>#N/A</v>
      </c>
      <c r="AH2" s="0" t="e">
        <f aca="false">_xlfn.XLOOKUP(AH3,Mapping!$C:$C,Mapping!$D:$D)</f>
        <v>#N/A</v>
      </c>
      <c r="AI2" s="0" t="e">
        <f aca="false">_xlfn.XLOOKUP(AI3,Mapping!$C:$C,Mapping!$D:$D)</f>
        <v>#N/A</v>
      </c>
      <c r="AJ2" s="0" t="str">
        <f aca="false">_xlfn.XLOOKUP(AJ3,Mapping!$C:$C,Mapping!$D:$D)</f>
        <v>Nominal</v>
      </c>
      <c r="AK2" s="0" t="str">
        <f aca="false">_xlfn.XLOOKUP(AK3,Mapping!$C:$C,Mapping!$D:$D)</f>
        <v>Drawn</v>
      </c>
      <c r="AL2" s="0" t="e">
        <f aca="false">_xlfn.XLOOKUP(AL3,Mapping!$C:$C,Mapping!$D:$D)</f>
        <v>#N/A</v>
      </c>
      <c r="AM2" s="0" t="e">
        <f aca="false">_xlfn.XLOOKUP(AM3,Mapping!$C:$C,Mapping!$D:$D)</f>
        <v>#N/A</v>
      </c>
      <c r="AN2" s="0" t="e">
        <f aca="false">_xlfn.XLOOKUP(AN3,Mapping!$C:$C,Mapping!$D:$D)</f>
        <v>#N/A</v>
      </c>
      <c r="AO2" s="0" t="e">
        <f aca="false">_xlfn.XLOOKUP(AO3,Mapping!$C:$C,Mapping!$D:$D)</f>
        <v>#N/A</v>
      </c>
      <c r="AP2" s="0" t="e">
        <f aca="false">_xlfn.XLOOKUP(AP3,Mapping!$C:$C,Mapping!$D:$D)</f>
        <v>#N/A</v>
      </c>
      <c r="AQ2" s="0" t="e">
        <f aca="false">_xlfn.XLOOKUP(AQ3,Mapping!$C:$C,Mapping!$D:$D)</f>
        <v>#N/A</v>
      </c>
      <c r="AR2" s="0" t="e">
        <f aca="false">_xlfn.XLOOKUP(AR3,Mapping!$C:$C,Mapping!$D:$D)</f>
        <v>#N/A</v>
      </c>
      <c r="AS2" s="0" t="str">
        <f aca="false">_xlfn.XLOOKUP(AS3,Mapping!$C:$C,Mapping!$D:$D)</f>
        <v>Purchase Date</v>
      </c>
      <c r="AT2" s="0" t="str">
        <f aca="false">_xlfn.XLOOKUP(AT3,Mapping!$C:$C,Mapping!$D:$D)</f>
        <v>Maturity Date</v>
      </c>
      <c r="AU2" s="0" t="e">
        <f aca="false">_xlfn.XLOOKUP(AU3,Mapping!$C:$C,Mapping!$D:$D)</f>
        <v>#N/A</v>
      </c>
      <c r="AV2" s="0" t="e">
        <f aca="false">_xlfn.XLOOKUP(AV3,Mapping!$C:$C,Mapping!$D:$D)</f>
        <v>#N/A</v>
      </c>
      <c r="AW2" s="0" t="str">
        <f aca="false">_xlfn.XLOOKUP(AW3,Mapping!$C:$C,Mapping!$D:$D)</f>
        <v>Parent Issuer</v>
      </c>
      <c r="AX2" s="0" t="e">
        <f aca="false">_xlfn.XLOOKUP(AX3,Mapping!$C:$C,Mapping!$D:$D)</f>
        <v>#N/A</v>
      </c>
      <c r="AY2" s="0" t="e">
        <f aca="false">_xlfn.XLOOKUP(AY3,Mapping!$C:$C,Mapping!$D:$D)</f>
        <v>#N/A</v>
      </c>
      <c r="AZ2" s="0" t="e">
        <f aca="false">_xlfn.XLOOKUP(AZ3,Mapping!$C:$C,Mapping!$D:$D)</f>
        <v>#N/A</v>
      </c>
      <c r="BA2" s="0" t="str">
        <f aca="false">_xlfn.XLOOKUP(BA3,Mapping!$C:$C,Mapping!$D:$D)</f>
        <v>Issuer Country</v>
      </c>
      <c r="BB2" s="0" t="e">
        <f aca="false">_xlfn.XLOOKUP(BB3,Mapping!$C:$C,Mapping!$D:$D)</f>
        <v>#N/A</v>
      </c>
      <c r="BC2" s="0" t="e">
        <f aca="false">_xlfn.XLOOKUP(BC3,Mapping!$C:$C,Mapping!$D:$D)</f>
        <v>#N/A</v>
      </c>
      <c r="BD2" s="0" t="e">
        <f aca="false">_xlfn.XLOOKUP(BD3,Mapping!$C:$C,Mapping!$D:$D)</f>
        <v>#N/A</v>
      </c>
      <c r="BE2" s="0" t="e">
        <f aca="false">_xlfn.XLOOKUP(BE3,Mapping!$C:$C,Mapping!$D:$D)</f>
        <v>#N/A</v>
      </c>
      <c r="BF2" s="0" t="e">
        <f aca="false">_xlfn.XLOOKUP(BF3,Mapping!$C:$C,Mapping!$D:$D)</f>
        <v>#N/A</v>
      </c>
      <c r="BG2" s="0" t="e">
        <f aca="false">_xlfn.XLOOKUP(BG3,Mapping!$C:$C,Mapping!$D:$D)</f>
        <v>#N/A</v>
      </c>
      <c r="BH2" s="0" t="e">
        <f aca="false">_xlfn.XLOOKUP(BH3,Mapping!$C:$C,Mapping!$D:$D)</f>
        <v>#N/A</v>
      </c>
      <c r="BI2" s="0" t="e">
        <f aca="false">_xlfn.XLOOKUP(BI3,Mapping!$C:$C,Mapping!$D:$D)</f>
        <v>#N/A</v>
      </c>
      <c r="BJ2" s="0" t="str">
        <f aca="false">_xlfn.XLOOKUP(BJ3,Mapping!$C:$C,Mapping!$D:$D)</f>
        <v>Nominal RC</v>
      </c>
      <c r="BK2" s="0" t="str">
        <f aca="false">_xlfn.XLOOKUP(BK3,Mapping!$C:$C,Mapping!$D:$D)</f>
        <v>Rate Type</v>
      </c>
      <c r="BL2" s="0" t="str">
        <f aca="false">_xlfn.XLOOKUP(BL3,Mapping!$C:$C,Mapping!$D:$D)</f>
        <v>Seniority</v>
      </c>
      <c r="BM2" s="0" t="e">
        <f aca="false">_xlfn.XLOOKUP(BM3,Mapping!$C:$C,Mapping!$D:$D)</f>
        <v>#N/A</v>
      </c>
      <c r="BN2" s="0" t="e">
        <f aca="false">_xlfn.XLOOKUP(BN3,Mapping!$C:$C,Mapping!$D:$D)</f>
        <v>#N/A</v>
      </c>
      <c r="BO2" s="0" t="str">
        <f aca="false">_xlfn.XLOOKUP(BO3,Mapping!$C:$C,Mapping!$D:$D)</f>
        <v>Time to Maturity</v>
      </c>
      <c r="BP2" s="0" t="e">
        <f aca="false">_xlfn.XLOOKUP(BP3,Mapping!$C:$C,Mapping!$D:$D)</f>
        <v>#N/A</v>
      </c>
      <c r="BQ2" s="0" t="e">
        <f aca="false">_xlfn.XLOOKUP(BQ3,Mapping!$C:$C,Mapping!$D:$D)</f>
        <v>#N/A</v>
      </c>
      <c r="BR2" s="0" t="e">
        <f aca="false">_xlfn.XLOOKUP(BR3,Mapping!$C:$C,Mapping!$D:$D)</f>
        <v>#N/A</v>
      </c>
      <c r="BS2" s="0" t="e">
        <f aca="false">_xlfn.XLOOKUP(BS3,Mapping!$C:$C,Mapping!$D:$D)</f>
        <v>#N/A</v>
      </c>
      <c r="BT2" s="0" t="e">
        <f aca="false">_xlfn.XLOOKUP(BT3,Mapping!$C:$C,Mapping!$D:$D)</f>
        <v>#N/A</v>
      </c>
      <c r="BU2" s="0" t="e">
        <f aca="false">_xlfn.XLOOKUP(BU3,Mapping!$C:$C,Mapping!$D:$D)</f>
        <v>#N/A</v>
      </c>
      <c r="BV2" s="0" t="e">
        <f aca="false">_xlfn.XLOOKUP(BV3,Mapping!$C:$C,Mapping!$D:$D)</f>
        <v>#N/A</v>
      </c>
      <c r="BW2" s="0" t="e">
        <f aca="false">_xlfn.XLOOKUP(BW3,Mapping!$C:$C,Mapping!$D:$D)</f>
        <v>#N/A</v>
      </c>
      <c r="BX2" s="0" t="e">
        <f aca="false">_xlfn.XLOOKUP(BX3,Mapping!$C:$C,Mapping!$D:$D)</f>
        <v>#N/A</v>
      </c>
      <c r="BY2" s="0" t="str">
        <f aca="false">_xlfn.XLOOKUP(BY3,Mapping!$C:$C,Mapping!$D:$D)</f>
        <v>Spread at Acquisition</v>
      </c>
      <c r="BZ2" s="0" t="str">
        <f aca="false">_xlfn.XLOOKUP(BZ3,Mapping!$C:$C,Mapping!$D:$D)</f>
        <v>Spread</v>
      </c>
      <c r="CA2" s="0" t="e">
        <f aca="false">_xlfn.XLOOKUP(CA3,Mapping!$C:$C,Mapping!$D:$D)</f>
        <v>#N/A</v>
      </c>
      <c r="CB2" s="0" t="e">
        <f aca="false">_xlfn.XLOOKUP(CB3,Mapping!$C:$C,Mapping!$D:$D)</f>
        <v>#N/A</v>
      </c>
      <c r="CC2" s="0" t="str">
        <f aca="false">_xlfn.XLOOKUP(CC3,Mapping!$C:$C,Mapping!$D:$D)</f>
        <v>Internal Rating</v>
      </c>
      <c r="CD2" s="0" t="str">
        <f aca="false">_xlfn.XLOOKUP(CD3,Mapping!$C:$C,Mapping!$D:$D)</f>
        <v>Closing Rating</v>
      </c>
      <c r="CE2" s="0" t="str">
        <f aca="false">_xlfn.XLOOKUP(CE3,Mapping!$C:$C,Mapping!$D:$D)</f>
        <v>Fitch</v>
      </c>
      <c r="CF2" s="0" t="str">
        <f aca="false">_xlfn.XLOOKUP(CF3,Mapping!$C:$C,Mapping!$D:$D)</f>
        <v>S&amp;P</v>
      </c>
      <c r="CG2" s="0" t="str">
        <f aca="false">_xlfn.XLOOKUP(CG3,Mapping!$C:$C,Mapping!$D:$D)</f>
        <v>Moody's</v>
      </c>
      <c r="CH2" s="0" t="e">
        <f aca="false">_xlfn.XLOOKUP(CH3,Mapping!$C:$C,Mapping!$D:$D)</f>
        <v>#N/A</v>
      </c>
      <c r="CI2" s="0" t="e">
        <f aca="false">_xlfn.XLOOKUP(CI3,Mapping!$C:$C,Mapping!$D:$D)</f>
        <v>#N/A</v>
      </c>
      <c r="CJ2" s="0" t="str">
        <f aca="false">_xlfn.XLOOKUP(CJ3,Mapping!$C:$C,Mapping!$D:$D)</f>
        <v>ICR</v>
      </c>
      <c r="CK2" s="0" t="e">
        <f aca="false">_xlfn.XLOOKUP(CK3,Mapping!$C:$C,Mapping!$D:$D)</f>
        <v>#N/A</v>
      </c>
      <c r="CL2" s="0" t="e">
        <f aca="false">_xlfn.XLOOKUP(CL3,Mapping!$C:$C,Mapping!$D:$D)</f>
        <v>#N/A</v>
      </c>
      <c r="CM2" s="0" t="e">
        <f aca="false">_xlfn.XLOOKUP(CM3,Mapping!$C:$C,Mapping!$D:$D)</f>
        <v>#N/A</v>
      </c>
      <c r="CN2" s="0" t="e">
        <f aca="false">_xlfn.XLOOKUP(CN3,Mapping!$C:$C,Mapping!$D:$D)</f>
        <v>#N/A</v>
      </c>
      <c r="CO2" s="0" t="e">
        <f aca="false">_xlfn.XLOOKUP(CO3,Mapping!$C:$C,Mapping!$D:$D)</f>
        <v>#N/A</v>
      </c>
      <c r="CP2" s="0" t="e">
        <f aca="false">_xlfn.XLOOKUP(CP3,Mapping!$C:$C,Mapping!$D:$D)</f>
        <v>#N/A</v>
      </c>
      <c r="CQ2" s="0" t="e">
        <f aca="false">_xlfn.XLOOKUP(CQ3,Mapping!$C:$C,Mapping!$D:$D)</f>
        <v>#N/A</v>
      </c>
      <c r="CR2" s="0" t="e">
        <f aca="false">_xlfn.XLOOKUP(CR3,Mapping!$C:$C,Mapping!$D:$D)</f>
        <v>#N/A</v>
      </c>
      <c r="CS2" s="0" t="e">
        <f aca="false">_xlfn.XLOOKUP(CS3,Mapping!$C:$C,Mapping!$D:$D)</f>
        <v>#N/A</v>
      </c>
      <c r="CT2" s="0" t="e">
        <f aca="false">_xlfn.XLOOKUP(CT3,Mapping!$C:$C,Mapping!$D:$D)</f>
        <v>#N/A</v>
      </c>
      <c r="CU2" s="0" t="e">
        <f aca="false">_xlfn.XLOOKUP(CU3,Mapping!$C:$C,Mapping!$D:$D)</f>
        <v>#N/A</v>
      </c>
      <c r="CV2" s="0" t="e">
        <f aca="false">_xlfn.XLOOKUP(CV3,Mapping!$C:$C,Mapping!$D:$D)</f>
        <v>#N/A</v>
      </c>
      <c r="CW2" s="0" t="e">
        <f aca="false">_xlfn.XLOOKUP(CW3,Mapping!$C:$C,Mapping!$D:$D)</f>
        <v>#N/A</v>
      </c>
      <c r="CX2" s="0" t="e">
        <f aca="false">_xlfn.XLOOKUP(CX3,Mapping!$C:$C,Mapping!$D:$D)</f>
        <v>#N/A</v>
      </c>
      <c r="CY2" s="0" t="e">
        <f aca="false">_xlfn.XLOOKUP(CY3,Mapping!$C:$C,Mapping!$D:$D)</f>
        <v>#N/A</v>
      </c>
      <c r="CZ2" s="0" t="e">
        <f aca="false">_xlfn.XLOOKUP(CZ3,Mapping!$C:$C,Mapping!$D:$D)</f>
        <v>#N/A</v>
      </c>
      <c r="DA2" s="0" t="str">
        <f aca="false">_xlfn.XLOOKUP(DA3,Mapping!$C:$C,Mapping!$D:$D)</f>
        <v>LTV</v>
      </c>
      <c r="DB2" s="0" t="e">
        <f aca="false">_xlfn.XLOOKUP(DB3,Mapping!$C:$C,Mapping!$D:$D)</f>
        <v>#N/A</v>
      </c>
      <c r="DC2" s="0" t="e">
        <f aca="false">_xlfn.XLOOKUP(DC3,Mapping!$C:$C,Mapping!$D:$D)</f>
        <v>#N/A</v>
      </c>
      <c r="DD2" s="0" t="e">
        <f aca="false">_xlfn.XLOOKUP(DD3,Mapping!$C:$C,Mapping!$D:$D)</f>
        <v>#N/A</v>
      </c>
      <c r="DE2" s="0" t="e">
        <f aca="false">_xlfn.XLOOKUP(DE3,Mapping!$C:$C,Mapping!$D:$D)</f>
        <v>#N/A</v>
      </c>
      <c r="DF2" s="0" t="e">
        <f aca="false">_xlfn.XLOOKUP(DF3,Mapping!$C:$C,Mapping!$D:$D)</f>
        <v>#N/A</v>
      </c>
      <c r="DG2" s="0" t="e">
        <f aca="false">_xlfn.XLOOKUP(DG3,Mapping!$C:$C,Mapping!$D:$D)</f>
        <v>#N/A</v>
      </c>
      <c r="DH2" s="0" t="e">
        <f aca="false">_xlfn.XLOOKUP(DH3,Mapping!$C:$C,Mapping!$D:$D)</f>
        <v>#N/A</v>
      </c>
      <c r="DI2" s="0" t="e">
        <f aca="false">_xlfn.XLOOKUP(DI3,Mapping!$C:$C,Mapping!$D:$D)</f>
        <v>#N/A</v>
      </c>
      <c r="DJ2" s="0" t="e">
        <f aca="false">_xlfn.XLOOKUP(DJ3,Mapping!$C:$C,Mapping!$D:$D)</f>
        <v>#N/A</v>
      </c>
      <c r="DK2" s="0" t="e">
        <f aca="false">_xlfn.XLOOKUP(DK3,Mapping!$C:$C,Mapping!$D:$D)</f>
        <v>#N/A</v>
      </c>
      <c r="DL2" s="0" t="e">
        <f aca="false">_xlfn.XLOOKUP(DL3,Mapping!$C:$C,Mapping!$D:$D)</f>
        <v>#N/A</v>
      </c>
      <c r="DM2" s="0" t="e">
        <f aca="false">_xlfn.XLOOKUP(DM3,Mapping!$C:$C,Mapping!$D:$D)</f>
        <v>#N/A</v>
      </c>
      <c r="DN2" s="0" t="e">
        <f aca="false">_xlfn.XLOOKUP(DN3,Mapping!$C:$C,Mapping!$D:$D)</f>
        <v>#N/A</v>
      </c>
      <c r="DO2" s="0" t="e">
        <f aca="false">_xlfn.XLOOKUP(DO3,Mapping!$C:$C,Mapping!$D:$D)</f>
        <v>#N/A</v>
      </c>
      <c r="DP2" s="0" t="e">
        <f aca="false">_xlfn.XLOOKUP(DP3,Mapping!$C:$C,Mapping!$D:$D)</f>
        <v>#N/A</v>
      </c>
      <c r="DQ2" s="0" t="e">
        <f aca="false">_xlfn.XLOOKUP(DQ3,Mapping!$C:$C,Mapping!$D:$D)</f>
        <v>#N/A</v>
      </c>
      <c r="DR2" s="0" t="e">
        <f aca="false">_xlfn.XLOOKUP(DR3,Mapping!$C:$C,Mapping!$D:$D)</f>
        <v>#N/A</v>
      </c>
      <c r="DS2" s="0" t="e">
        <f aca="false">_xlfn.XLOOKUP(DS3,Mapping!$C:$C,Mapping!$D:$D)</f>
        <v>#N/A</v>
      </c>
      <c r="DT2" s="0" t="e">
        <f aca="false">_xlfn.XLOOKUP(DT3,Mapping!$C:$C,Mapping!$D:$D)</f>
        <v>#N/A</v>
      </c>
      <c r="DU2" s="0" t="e">
        <f aca="false">_xlfn.XLOOKUP(DU3,Mapping!$C:$C,Mapping!$D:$D)</f>
        <v>#N/A</v>
      </c>
      <c r="DV2" s="0" t="e">
        <f aca="false">_xlfn.XLOOKUP(DV3,Mapping!$C:$C,Mapping!$D:$D)</f>
        <v>#N/A</v>
      </c>
      <c r="DW2" s="0" t="e">
        <f aca="false">_xlfn.XLOOKUP(DW3,Mapping!$C:$C,Mapping!$D:$D)</f>
        <v>#N/A</v>
      </c>
      <c r="DX2" s="0" t="e">
        <f aca="false">_xlfn.XLOOKUP(DX3,Mapping!$C:$C,Mapping!$D:$D)</f>
        <v>#N/A</v>
      </c>
      <c r="DY2" s="0" t="e">
        <f aca="false">_xlfn.XLOOKUP(DY3,Mapping!$C:$C,Mapping!$D:$D)</f>
        <v>#N/A</v>
      </c>
      <c r="DZ2" s="0" t="e">
        <f aca="false">_xlfn.XLOOKUP(DZ3,Mapping!$C:$C,Mapping!$D:$D)</f>
        <v>#N/A</v>
      </c>
      <c r="EA2" s="0" t="e">
        <f aca="false">_xlfn.XLOOKUP(EA3,Mapping!$C:$C,Mapping!$D:$D)</f>
        <v>#N/A</v>
      </c>
      <c r="EB2" s="0" t="e">
        <f aca="false">_xlfn.XLOOKUP(EB3,Mapping!$C:$C,Mapping!$D:$D)</f>
        <v>#N/A</v>
      </c>
      <c r="EC2" s="0" t="e">
        <f aca="false">_xlfn.XLOOKUP(EC3,Mapping!$C:$C,Mapping!$D:$D)</f>
        <v>#N/A</v>
      </c>
      <c r="ED2" s="0" t="str">
        <f aca="false">_xlfn.XLOOKUP(ED3,Mapping!$C:$C,Mapping!$D:$D)</f>
        <v>DSCR Status</v>
      </c>
      <c r="EE2" s="0" t="e">
        <f aca="false">_xlfn.XLOOKUP(EE3,Mapping!$C:$C,Mapping!$D:$D)</f>
        <v>#N/A</v>
      </c>
      <c r="EF2" s="0" t="e">
        <f aca="false">_xlfn.XLOOKUP(EF3,Mapping!$C:$C,Mapping!$D:$D)</f>
        <v>#N/A</v>
      </c>
      <c r="EG2" s="0" t="e">
        <f aca="false">_xlfn.XLOOKUP(EG3,Mapping!$C:$C,Mapping!$D:$D)</f>
        <v>#N/A</v>
      </c>
      <c r="EH2" s="0" t="e">
        <f aca="false">_xlfn.XLOOKUP(EH3,Mapping!$C:$C,Mapping!$D:$D)</f>
        <v>#N/A</v>
      </c>
      <c r="EI2" s="0" t="e">
        <f aca="false">_xlfn.XLOOKUP(EI3,Mapping!$C:$C,Mapping!$D:$D)</f>
        <v>#N/A</v>
      </c>
      <c r="EJ2" s="0" t="e">
        <f aca="false">_xlfn.XLOOKUP(EJ3,Mapping!$C:$C,Mapping!$D:$D)</f>
        <v>#N/A</v>
      </c>
      <c r="EK2" s="0" t="e">
        <f aca="false">_xlfn.XLOOKUP(EK3,Mapping!$C:$C,Mapping!$D:$D)</f>
        <v>#N/A</v>
      </c>
      <c r="EL2" s="0" t="e">
        <f aca="false">_xlfn.XLOOKUP(EL3,Mapping!$C:$C,Mapping!$D:$D)</f>
        <v>#N/A</v>
      </c>
      <c r="EM2" s="0" t="e">
        <f aca="false">_xlfn.XLOOKUP(EM3,Mapping!$C:$C,Mapping!$D:$D)</f>
        <v>#N/A</v>
      </c>
      <c r="EN2" s="0" t="e">
        <f aca="false">_xlfn.XLOOKUP(EN3,Mapping!$C:$C,Mapping!$D:$D)</f>
        <v>#N/A</v>
      </c>
      <c r="EO2" s="0" t="e">
        <f aca="false">_xlfn.XLOOKUP(EO3,Mapping!$C:$C,Mapping!$D:$D)</f>
        <v>#N/A</v>
      </c>
      <c r="EP2" s="0" t="e">
        <f aca="false">_xlfn.XLOOKUP(EP3,Mapping!$C:$C,Mapping!$D:$D)</f>
        <v>#N/A</v>
      </c>
      <c r="EQ2" s="0" t="e">
        <f aca="false">_xlfn.XLOOKUP(EQ3,Mapping!$C:$C,Mapping!$D:$D)</f>
        <v>#N/A</v>
      </c>
      <c r="ER2" s="0" t="e">
        <f aca="false">_xlfn.XLOOKUP(ER3,Mapping!$C:$C,Mapping!$D:$D)</f>
        <v>#N/A</v>
      </c>
      <c r="ES2" s="0" t="e">
        <f aca="false">_xlfn.XLOOKUP(ES3,Mapping!$C:$C,Mapping!$D:$D)</f>
        <v>#N/A</v>
      </c>
      <c r="ET2" s="0" t="e">
        <f aca="false">_xlfn.XLOOKUP(ET3,Mapping!$C:$C,Mapping!$D:$D)</f>
        <v>#N/A</v>
      </c>
      <c r="EU2" s="0" t="e">
        <f aca="false">_xlfn.XLOOKUP(EU3,Mapping!$C:$C,Mapping!$D:$D)</f>
        <v>#N/A</v>
      </c>
      <c r="EV2" s="0" t="e">
        <f aca="false">_xlfn.XLOOKUP(EV3,Mapping!$C:$C,Mapping!$D:$D)</f>
        <v>#N/A</v>
      </c>
      <c r="EW2" s="0" t="e">
        <f aca="false">_xlfn.XLOOKUP(EW3,Mapping!$C:$C,Mapping!$D:$D)</f>
        <v>#N/A</v>
      </c>
      <c r="EX2" s="0" t="e">
        <f aca="false">_xlfn.XLOOKUP(EX3,Mapping!$C:$C,Mapping!$D:$D)</f>
        <v>#N/A</v>
      </c>
      <c r="EY2" s="0" t="e">
        <f aca="false">_xlfn.XLOOKUP(EY3,Mapping!$C:$C,Mapping!$D:$D)</f>
        <v>#N/A</v>
      </c>
      <c r="EZ2" s="0" t="e">
        <f aca="false">_xlfn.XLOOKUP(EZ3,Mapping!$C:$C,Mapping!$D:$D)</f>
        <v>#N/A</v>
      </c>
      <c r="FA2" s="0" t="e">
        <f aca="false">_xlfn.XLOOKUP(FA3,Mapping!$C:$C,Mapping!$D:$D)</f>
        <v>#N/A</v>
      </c>
      <c r="FB2" s="0" t="e">
        <f aca="false">_xlfn.XLOOKUP(FB3,Mapping!$C:$C,Mapping!$D:$D)</f>
        <v>#N/A</v>
      </c>
      <c r="FC2" s="0" t="e">
        <f aca="false">_xlfn.XLOOKUP(FC3,Mapping!$C:$C,Mapping!$D:$D)</f>
        <v>#N/A</v>
      </c>
      <c r="FD2" s="0" t="e">
        <f aca="false">_xlfn.XLOOKUP(FD3,Mapping!$C:$C,Mapping!$D:$D)</f>
        <v>#N/A</v>
      </c>
      <c r="FE2" s="0" t="e">
        <f aca="false">_xlfn.XLOOKUP(FE3,Mapping!$C:$C,Mapping!$D:$D)</f>
        <v>#N/A</v>
      </c>
      <c r="FF2" s="0" t="e">
        <f aca="false">_xlfn.XLOOKUP(FF3,Mapping!$C:$C,Mapping!$D:$D)</f>
        <v>#N/A</v>
      </c>
      <c r="FG2" s="0" t="e">
        <f aca="false">_xlfn.XLOOKUP(FG3,Mapping!$C:$C,Mapping!$D:$D)</f>
        <v>#N/A</v>
      </c>
      <c r="FH2" s="0" t="e">
        <f aca="false">_xlfn.XLOOKUP(FH3,Mapping!$C:$C,Mapping!$D:$D)</f>
        <v>#N/A</v>
      </c>
      <c r="FI2" s="0" t="e">
        <f aca="false">_xlfn.XLOOKUP(FI3,Mapping!$C:$C,Mapping!$D:$D)</f>
        <v>#N/A</v>
      </c>
      <c r="FJ2" s="0" t="e">
        <f aca="false">_xlfn.XLOOKUP(FJ3,Mapping!$C:$C,Mapping!$D:$D)</f>
        <v>#N/A</v>
      </c>
      <c r="FK2" s="0" t="e">
        <f aca="false">_xlfn.XLOOKUP(FK3,Mapping!$C:$C,Mapping!$D:$D)</f>
        <v>#N/A</v>
      </c>
      <c r="FL2" s="0" t="e">
        <f aca="false">_xlfn.XLOOKUP(FL3,Mapping!$C:$C,Mapping!$D:$D)</f>
        <v>#N/A</v>
      </c>
      <c r="FM2" s="0" t="e">
        <f aca="false">_xlfn.XLOOKUP(FM3,Mapping!$C:$C,Mapping!$D:$D)</f>
        <v>#N/A</v>
      </c>
      <c r="FN2" s="0" t="e">
        <f aca="false">_xlfn.XLOOKUP(FN3,Mapping!$C:$C,Mapping!$D:$D)</f>
        <v>#N/A</v>
      </c>
      <c r="FO2" s="0" t="e">
        <f aca="false">_xlfn.XLOOKUP(FO3,Mapping!$C:$C,Mapping!$D:$D)</f>
        <v>#N/A</v>
      </c>
      <c r="FP2" s="0" t="e">
        <f aca="false">_xlfn.XLOOKUP(FP3,Mapping!$C:$C,Mapping!$D:$D)</f>
        <v>#N/A</v>
      </c>
      <c r="FQ2" s="0" t="e">
        <f aca="false">_xlfn.XLOOKUP(FQ3,Mapping!$C:$C,Mapping!$D:$D)</f>
        <v>#N/A</v>
      </c>
      <c r="FR2" s="0" t="e">
        <f aca="false">_xlfn.XLOOKUP(FR3,Mapping!$C:$C,Mapping!$D:$D)</f>
        <v>#N/A</v>
      </c>
      <c r="FS2" s="0" t="e">
        <f aca="false">_xlfn.XLOOKUP(FS3,Mapping!$C:$C,Mapping!$D:$D)</f>
        <v>#N/A</v>
      </c>
      <c r="FT2" s="0" t="e">
        <f aca="false">_xlfn.XLOOKUP(FT3,Mapping!$C:$C,Mapping!$D:$D)</f>
        <v>#N/A</v>
      </c>
      <c r="FU2" s="0" t="e">
        <f aca="false">_xlfn.XLOOKUP(FU3,Mapping!$C:$C,Mapping!$D:$D)</f>
        <v>#N/A</v>
      </c>
      <c r="FV2" s="0" t="e">
        <f aca="false">_xlfn.XLOOKUP(FV3,Mapping!$C:$C,Mapping!$D:$D)</f>
        <v>#N/A</v>
      </c>
      <c r="FW2" s="0" t="e">
        <f aca="false">_xlfn.XLOOKUP(FW3,Mapping!$C:$C,Mapping!$D:$D)</f>
        <v>#N/A</v>
      </c>
      <c r="FX2" s="0" t="e">
        <f aca="false">_xlfn.XLOOKUP(FX3,Mapping!$C:$C,Mapping!$D:$D)</f>
        <v>#N/A</v>
      </c>
      <c r="FY2" s="0" t="e">
        <f aca="false">_xlfn.XLOOKUP(FY3,Mapping!$C:$C,Mapping!$D:$D)</f>
        <v>#N/A</v>
      </c>
      <c r="FZ2" s="0" t="e">
        <f aca="false">_xlfn.XLOOKUP(FZ3,Mapping!$C:$C,Mapping!$D:$D)</f>
        <v>#N/A</v>
      </c>
      <c r="GA2" s="0" t="e">
        <f aca="false">_xlfn.XLOOKUP(GA3,Mapping!$C:$C,Mapping!$D:$D)</f>
        <v>#N/A</v>
      </c>
    </row>
    <row r="3" customFormat="false" ht="15" hidden="false" customHeight="false" outlineLevel="0" collapsed="false">
      <c r="B3" s="0" t="s">
        <v>0</v>
      </c>
      <c r="C3" s="0" t="s">
        <v>1</v>
      </c>
      <c r="D3" s="0" t="s">
        <v>2</v>
      </c>
      <c r="E3" s="0" t="s">
        <v>3</v>
      </c>
      <c r="F3" s="0" t="s">
        <v>4</v>
      </c>
      <c r="G3" s="0" t="s">
        <v>5</v>
      </c>
      <c r="H3" s="0" t="s">
        <v>6</v>
      </c>
      <c r="I3" s="0" t="s">
        <v>7</v>
      </c>
      <c r="J3" s="0" t="s">
        <v>8</v>
      </c>
      <c r="K3" s="0" t="s">
        <v>9</v>
      </c>
      <c r="L3" s="0" t="s">
        <v>10</v>
      </c>
      <c r="M3" s="0" t="s">
        <v>11</v>
      </c>
      <c r="N3" s="0" t="s">
        <v>12</v>
      </c>
      <c r="O3" s="0" t="s">
        <v>13</v>
      </c>
      <c r="P3" s="0" t="s">
        <v>14</v>
      </c>
      <c r="Q3" s="0" t="s">
        <v>15</v>
      </c>
      <c r="R3" s="0" t="s">
        <v>16</v>
      </c>
      <c r="S3" s="0" t="s">
        <v>17</v>
      </c>
      <c r="T3" s="0" t="s">
        <v>18</v>
      </c>
      <c r="U3" s="0" t="s">
        <v>19</v>
      </c>
      <c r="V3" s="0" t="s">
        <v>20</v>
      </c>
      <c r="W3" s="0" t="s">
        <v>21</v>
      </c>
      <c r="X3" s="0" t="s">
        <v>22</v>
      </c>
      <c r="Y3" s="0" t="s">
        <v>23</v>
      </c>
      <c r="Z3" s="0" t="s">
        <v>24</v>
      </c>
      <c r="AA3" s="0" t="s">
        <v>25</v>
      </c>
      <c r="AB3" s="0" t="s">
        <v>26</v>
      </c>
      <c r="AC3" s="0" t="s">
        <v>27</v>
      </c>
      <c r="AD3" s="0" t="s">
        <v>28</v>
      </c>
      <c r="AE3" s="0" t="s">
        <v>29</v>
      </c>
      <c r="AF3" s="0" t="s">
        <v>30</v>
      </c>
      <c r="AG3" s="0" t="s">
        <v>31</v>
      </c>
      <c r="AH3" s="0" t="s">
        <v>32</v>
      </c>
      <c r="AI3" s="0" t="s">
        <v>33</v>
      </c>
      <c r="AJ3" s="0" t="s">
        <v>34</v>
      </c>
      <c r="AK3" s="0" t="s">
        <v>35</v>
      </c>
      <c r="AL3" s="0" t="s">
        <v>36</v>
      </c>
      <c r="AM3" s="0" t="s">
        <v>37</v>
      </c>
      <c r="AN3" s="0" t="s">
        <v>38</v>
      </c>
      <c r="AO3" s="0" t="s">
        <v>39</v>
      </c>
      <c r="AP3" s="0" t="s">
        <v>40</v>
      </c>
      <c r="AQ3" s="0" t="s">
        <v>41</v>
      </c>
      <c r="AR3" s="0" t="s">
        <v>42</v>
      </c>
      <c r="AS3" s="0" t="s">
        <v>43</v>
      </c>
      <c r="AT3" s="0" t="s">
        <v>44</v>
      </c>
      <c r="AU3" s="0" t="s">
        <v>45</v>
      </c>
      <c r="AV3" s="0" t="s">
        <v>46</v>
      </c>
      <c r="AW3" s="0" t="s">
        <v>47</v>
      </c>
      <c r="AX3" s="0" t="s">
        <v>48</v>
      </c>
      <c r="AY3" s="0" t="s">
        <v>49</v>
      </c>
      <c r="AZ3" s="0" t="s">
        <v>50</v>
      </c>
      <c r="BA3" s="0" t="s">
        <v>51</v>
      </c>
      <c r="BB3" s="0" t="s">
        <v>52</v>
      </c>
      <c r="BC3" s="0" t="s">
        <v>53</v>
      </c>
      <c r="BD3" s="0" t="s">
        <v>54</v>
      </c>
      <c r="BE3" s="0" t="s">
        <v>55</v>
      </c>
      <c r="BF3" s="0" t="s">
        <v>56</v>
      </c>
      <c r="BG3" s="0" t="s">
        <v>57</v>
      </c>
      <c r="BH3" s="0" t="s">
        <v>58</v>
      </c>
      <c r="BI3" s="0" t="s">
        <v>59</v>
      </c>
      <c r="BJ3" s="0" t="s">
        <v>60</v>
      </c>
      <c r="BK3" s="0" t="s">
        <v>61</v>
      </c>
      <c r="BL3" s="0" t="s">
        <v>62</v>
      </c>
      <c r="BM3" s="0" t="s">
        <v>63</v>
      </c>
      <c r="BN3" s="0" t="s">
        <v>64</v>
      </c>
      <c r="BO3" s="0" t="s">
        <v>65</v>
      </c>
      <c r="BP3" s="0" t="s">
        <v>66</v>
      </c>
      <c r="BQ3" s="0" t="s">
        <v>67</v>
      </c>
      <c r="BR3" s="0" t="s">
        <v>68</v>
      </c>
      <c r="BS3" s="0" t="s">
        <v>69</v>
      </c>
      <c r="BT3" s="0" t="s">
        <v>70</v>
      </c>
      <c r="BU3" s="0" t="s">
        <v>71</v>
      </c>
      <c r="BV3" s="0" t="s">
        <v>72</v>
      </c>
      <c r="BW3" s="0" t="s">
        <v>73</v>
      </c>
      <c r="BX3" s="0" t="s">
        <v>74</v>
      </c>
      <c r="BY3" s="0" t="s">
        <v>75</v>
      </c>
      <c r="BZ3" s="0" t="s">
        <v>76</v>
      </c>
      <c r="CA3" s="0" t="s">
        <v>77</v>
      </c>
      <c r="CB3" s="0" t="s">
        <v>78</v>
      </c>
      <c r="CC3" s="0" t="s">
        <v>79</v>
      </c>
      <c r="CD3" s="0" t="s">
        <v>80</v>
      </c>
      <c r="CE3" s="0" t="s">
        <v>81</v>
      </c>
      <c r="CF3" s="0" t="s">
        <v>82</v>
      </c>
      <c r="CG3" s="0" t="s">
        <v>83</v>
      </c>
      <c r="CH3" s="0" t="s">
        <v>84</v>
      </c>
      <c r="CI3" s="0" t="s">
        <v>85</v>
      </c>
      <c r="CJ3" s="0" t="s">
        <v>86</v>
      </c>
      <c r="CK3" s="0" t="s">
        <v>87</v>
      </c>
      <c r="CL3" s="0" t="s">
        <v>88</v>
      </c>
      <c r="CM3" s="0" t="s">
        <v>89</v>
      </c>
      <c r="CN3" s="0" t="s">
        <v>90</v>
      </c>
      <c r="CO3" s="0" t="s">
        <v>91</v>
      </c>
      <c r="CP3" s="0" t="s">
        <v>92</v>
      </c>
      <c r="CQ3" s="0" t="s">
        <v>93</v>
      </c>
      <c r="CR3" s="0" t="s">
        <v>94</v>
      </c>
      <c r="CS3" s="0" t="s">
        <v>95</v>
      </c>
      <c r="CT3" s="0" t="s">
        <v>96</v>
      </c>
      <c r="CU3" s="0" t="s">
        <v>97</v>
      </c>
      <c r="CV3" s="0" t="s">
        <v>98</v>
      </c>
      <c r="CW3" s="0" t="s">
        <v>99</v>
      </c>
      <c r="CX3" s="0" t="s">
        <v>100</v>
      </c>
      <c r="CY3" s="0" t="s">
        <v>101</v>
      </c>
      <c r="CZ3" s="0" t="s">
        <v>102</v>
      </c>
      <c r="DA3" s="0" t="s">
        <v>103</v>
      </c>
      <c r="DB3" s="0" t="s">
        <v>104</v>
      </c>
      <c r="DC3" s="0" t="s">
        <v>105</v>
      </c>
      <c r="DD3" s="0" t="s">
        <v>106</v>
      </c>
      <c r="DE3" s="0" t="s">
        <v>107</v>
      </c>
      <c r="DF3" s="0" t="s">
        <v>108</v>
      </c>
      <c r="DG3" s="0" t="s">
        <v>109</v>
      </c>
      <c r="DH3" s="0" t="s">
        <v>110</v>
      </c>
      <c r="DI3" s="0" t="s">
        <v>111</v>
      </c>
      <c r="DJ3" s="0" t="s">
        <v>112</v>
      </c>
      <c r="DK3" s="0" t="s">
        <v>113</v>
      </c>
      <c r="DL3" s="0" t="s">
        <v>114</v>
      </c>
      <c r="DM3" s="0" t="s">
        <v>115</v>
      </c>
      <c r="DN3" s="0" t="s">
        <v>116</v>
      </c>
      <c r="DO3" s="0" t="s">
        <v>117</v>
      </c>
      <c r="DP3" s="0" t="s">
        <v>118</v>
      </c>
      <c r="DQ3" s="0" t="s">
        <v>119</v>
      </c>
      <c r="DR3" s="0" t="s">
        <v>120</v>
      </c>
      <c r="DS3" s="0" t="s">
        <v>121</v>
      </c>
      <c r="DT3" s="0" t="s">
        <v>122</v>
      </c>
      <c r="DU3" s="0" t="s">
        <v>123</v>
      </c>
      <c r="DV3" s="0" t="s">
        <v>124</v>
      </c>
      <c r="DW3" s="0" t="s">
        <v>125</v>
      </c>
      <c r="DX3" s="0" t="s">
        <v>126</v>
      </c>
      <c r="DY3" s="0" t="s">
        <v>127</v>
      </c>
      <c r="DZ3" s="0" t="s">
        <v>128</v>
      </c>
      <c r="EA3" s="0" t="s">
        <v>129</v>
      </c>
      <c r="EB3" s="0" t="s">
        <v>130</v>
      </c>
      <c r="EC3" s="0" t="s">
        <v>131</v>
      </c>
      <c r="ED3" s="0" t="s">
        <v>132</v>
      </c>
      <c r="EE3" s="0" t="s">
        <v>133</v>
      </c>
      <c r="EF3" s="0" t="s">
        <v>134</v>
      </c>
      <c r="EG3" s="0" t="s">
        <v>135</v>
      </c>
      <c r="EH3" s="0" t="s">
        <v>136</v>
      </c>
      <c r="EI3" s="0" t="s">
        <v>137</v>
      </c>
      <c r="EJ3" s="0" t="s">
        <v>138</v>
      </c>
      <c r="EK3" s="0" t="s">
        <v>139</v>
      </c>
      <c r="EL3" s="0" t="s">
        <v>140</v>
      </c>
      <c r="EM3" s="0" t="s">
        <v>141</v>
      </c>
      <c r="EN3" s="0" t="s">
        <v>142</v>
      </c>
      <c r="EO3" s="0" t="s">
        <v>143</v>
      </c>
      <c r="EP3" s="0" t="s">
        <v>144</v>
      </c>
      <c r="EQ3" s="0" t="s">
        <v>145</v>
      </c>
      <c r="ER3" s="0" t="s">
        <v>146</v>
      </c>
      <c r="ES3" s="0" t="s">
        <v>147</v>
      </c>
      <c r="ET3" s="0" t="s">
        <v>148</v>
      </c>
      <c r="EU3" s="0" t="s">
        <v>149</v>
      </c>
      <c r="EV3" s="0" t="s">
        <v>150</v>
      </c>
      <c r="EW3" s="0" t="s">
        <v>151</v>
      </c>
      <c r="EX3" s="0" t="s">
        <v>152</v>
      </c>
      <c r="EY3" s="0" t="s">
        <v>153</v>
      </c>
      <c r="EZ3" s="0" t="s">
        <v>154</v>
      </c>
      <c r="FA3" s="0" t="s">
        <v>155</v>
      </c>
      <c r="FB3" s="0" t="s">
        <v>156</v>
      </c>
      <c r="FC3" s="0" t="s">
        <v>157</v>
      </c>
      <c r="FD3" s="0" t="s">
        <v>158</v>
      </c>
      <c r="FE3" s="0" t="s">
        <v>159</v>
      </c>
      <c r="FF3" s="0" t="s">
        <v>160</v>
      </c>
      <c r="FG3" s="0" t="s">
        <v>161</v>
      </c>
      <c r="FH3" s="0" t="s">
        <v>162</v>
      </c>
      <c r="FI3" s="0" t="s">
        <v>163</v>
      </c>
      <c r="FJ3" s="0" t="s">
        <v>164</v>
      </c>
      <c r="FK3" s="0" t="s">
        <v>165</v>
      </c>
      <c r="FL3" s="0" t="s">
        <v>166</v>
      </c>
      <c r="FM3" s="0" t="s">
        <v>167</v>
      </c>
      <c r="FN3" s="0" t="s">
        <v>168</v>
      </c>
      <c r="FO3" s="0" t="s">
        <v>169</v>
      </c>
      <c r="FP3" s="0" t="s">
        <v>170</v>
      </c>
      <c r="FQ3" s="0" t="s">
        <v>171</v>
      </c>
      <c r="FR3" s="0" t="s">
        <v>172</v>
      </c>
      <c r="FS3" s="0" t="s">
        <v>173</v>
      </c>
      <c r="FT3" s="0" t="s">
        <v>174</v>
      </c>
      <c r="FU3" s="0" t="s">
        <v>175</v>
      </c>
      <c r="FV3" s="0" t="s">
        <v>176</v>
      </c>
      <c r="FW3" s="0" t="s">
        <v>177</v>
      </c>
      <c r="FX3" s="0" t="s">
        <v>178</v>
      </c>
      <c r="FY3" s="0" t="s">
        <v>179</v>
      </c>
      <c r="FZ3" s="0" t="s">
        <v>180</v>
      </c>
      <c r="GA3" s="0" t="s">
        <v>181</v>
      </c>
    </row>
    <row r="4" customFormat="false" ht="15" hidden="false" customHeight="false" outlineLevel="0" collapsed="false">
      <c r="B4" s="0" t="str">
        <f aca="false">C4&amp;"x"&amp;I4</f>
        <v>61024x100200</v>
      </c>
      <c r="C4" s="0" t="n">
        <f aca="false">IF(G4="SINGLE",H4,G4)</f>
        <v>61024</v>
      </c>
      <c r="D4" s="0" t="e">
        <f aca="false">_xlfn.XLOOKUP(I4,calculations!$t:$t,calculations!$s:$s)</f>
        <v>#VALUE!</v>
      </c>
      <c r="E4" s="0" t="str">
        <f aca="false">_xlfn.XLOOKUP(I4,Mapping!$T:$T,Mapping!$Q:$Q)</f>
        <v>AURO01</v>
      </c>
      <c r="F4" s="1" t="n">
        <v>46203</v>
      </c>
      <c r="G4" s="0" t="n">
        <v>61024</v>
      </c>
      <c r="H4" s="0" t="n">
        <v>61024</v>
      </c>
      <c r="I4" s="0" t="n">
        <v>100200</v>
      </c>
      <c r="J4" s="0" t="s">
        <v>182</v>
      </c>
      <c r="K4" s="0" t="s">
        <v>183</v>
      </c>
      <c r="L4" s="0" t="s">
        <v>183</v>
      </c>
      <c r="M4" s="0" t="s">
        <v>184</v>
      </c>
      <c r="N4" s="0" t="n">
        <v>12462000</v>
      </c>
      <c r="O4" s="0" t="n">
        <v>12462000</v>
      </c>
      <c r="P4" s="0" t="s">
        <v>185</v>
      </c>
      <c r="Q4" s="0" t="s">
        <v>186</v>
      </c>
      <c r="R4" s="0" t="s">
        <v>187</v>
      </c>
      <c r="S4" s="0" t="s">
        <v>188</v>
      </c>
      <c r="T4" s="0" t="s">
        <v>189</v>
      </c>
      <c r="U4" s="0" t="s">
        <v>190</v>
      </c>
      <c r="V4" s="0" t="s">
        <v>191</v>
      </c>
      <c r="W4" s="0" t="s">
        <v>192</v>
      </c>
      <c r="X4" s="0" t="s">
        <v>193</v>
      </c>
      <c r="Y4" s="0" t="n">
        <v>8.9</v>
      </c>
      <c r="Z4" s="0" t="s">
        <v>185</v>
      </c>
      <c r="AA4" s="0" t="n">
        <v>1</v>
      </c>
      <c r="AB4" s="0" t="s">
        <v>187</v>
      </c>
      <c r="AC4" s="0" t="n">
        <v>29748000</v>
      </c>
      <c r="AD4" s="0" t="n">
        <v>29748000</v>
      </c>
      <c r="AE4" s="0" t="n">
        <v>29748000</v>
      </c>
      <c r="AF4" s="0" t="n">
        <v>0.4189</v>
      </c>
      <c r="AG4" s="0" t="n">
        <v>12462000</v>
      </c>
      <c r="AH4" s="0" t="n">
        <v>12462000</v>
      </c>
      <c r="AI4" s="0" t="n">
        <v>17286000</v>
      </c>
      <c r="AJ4" s="0" t="n">
        <v>29748000</v>
      </c>
      <c r="AK4" s="0" t="n">
        <v>12462000</v>
      </c>
      <c r="AL4" s="0" t="n">
        <v>12462000</v>
      </c>
      <c r="AM4" s="0" t="s">
        <v>194</v>
      </c>
      <c r="AN4" s="0" t="n">
        <v>5.277</v>
      </c>
      <c r="AO4" s="0" t="n">
        <v>3.811</v>
      </c>
      <c r="AP4" s="0" t="n">
        <v>5.693</v>
      </c>
      <c r="AQ4" s="0" t="n">
        <v>100</v>
      </c>
      <c r="AR4" s="0" t="n">
        <v>100</v>
      </c>
      <c r="AS4" s="1" t="n">
        <v>42349</v>
      </c>
      <c r="AT4" s="1" t="n">
        <v>46915</v>
      </c>
      <c r="AU4" s="1" t="n">
        <v>46295</v>
      </c>
      <c r="AV4" s="0" t="s">
        <v>195</v>
      </c>
      <c r="AW4" s="0" t="s">
        <v>196</v>
      </c>
      <c r="AX4" s="0" t="s">
        <v>187</v>
      </c>
      <c r="AY4" s="0" t="s">
        <v>197</v>
      </c>
      <c r="AZ4" s="0" t="s">
        <v>198</v>
      </c>
      <c r="BA4" s="0" t="s">
        <v>191</v>
      </c>
      <c r="BB4" s="0" t="s">
        <v>196</v>
      </c>
      <c r="BC4" s="0" t="s">
        <v>199</v>
      </c>
      <c r="BI4" s="0" t="n">
        <v>29748000</v>
      </c>
      <c r="BJ4" s="0" t="n">
        <v>29748000</v>
      </c>
      <c r="BK4" s="0" t="s">
        <v>200</v>
      </c>
      <c r="BL4" s="0" t="s">
        <v>201</v>
      </c>
      <c r="BN4" s="0" t="n">
        <v>7.5</v>
      </c>
      <c r="BO4" s="0" t="n">
        <v>1.95</v>
      </c>
      <c r="BP4" s="0" t="s">
        <v>202</v>
      </c>
      <c r="BQ4" s="0" t="s">
        <v>187</v>
      </c>
      <c r="BR4" s="0" t="s">
        <v>203</v>
      </c>
      <c r="BS4" s="0" t="s">
        <v>204</v>
      </c>
      <c r="BT4" s="0" t="s">
        <v>205</v>
      </c>
      <c r="BU4" s="0" t="s">
        <v>205</v>
      </c>
      <c r="BW4" s="0" t="s">
        <v>206</v>
      </c>
      <c r="BX4" s="0" t="s">
        <v>207</v>
      </c>
      <c r="BY4" s="0" t="n">
        <v>165</v>
      </c>
      <c r="BZ4" s="0" t="n">
        <v>165</v>
      </c>
      <c r="CB4" s="0" t="s">
        <v>208</v>
      </c>
      <c r="CC4" s="0" t="s">
        <v>209</v>
      </c>
      <c r="CD4" s="0" t="s">
        <v>209</v>
      </c>
      <c r="CE4" s="0" t="s">
        <v>210</v>
      </c>
      <c r="CF4" s="0" t="s">
        <v>210</v>
      </c>
      <c r="CG4" s="0" t="s">
        <v>211</v>
      </c>
      <c r="CH4" s="1" t="n">
        <v>46112</v>
      </c>
      <c r="CI4" s="0" t="n">
        <v>1.2</v>
      </c>
      <c r="CJ4" s="0" t="n">
        <v>2.43</v>
      </c>
      <c r="CK4" s="0" t="n">
        <v>2.55</v>
      </c>
      <c r="CL4" s="0" t="s">
        <v>212</v>
      </c>
      <c r="DA4" s="0" t="n">
        <v>0.8</v>
      </c>
      <c r="DC4" s="0" t="n">
        <v>0.85</v>
      </c>
      <c r="DD4" s="0" t="s">
        <v>213</v>
      </c>
      <c r="ED4" s="0" t="s">
        <v>212</v>
      </c>
      <c r="EE4" s="0" t="n">
        <v>1.05</v>
      </c>
      <c r="EI4" s="0" t="n">
        <v>1.48</v>
      </c>
      <c r="FQ4" s="0" t="n">
        <v>53363427</v>
      </c>
    </row>
    <row r="5" customFormat="false" ht="15" hidden="false" customHeight="false" outlineLevel="0" collapsed="false">
      <c r="B5" s="0" t="str">
        <f aca="false">C5&amp;"x"&amp;I5</f>
        <v>61021x100200</v>
      </c>
      <c r="C5" s="0" t="n">
        <f aca="false">IF(G5="SINGLE",H5,G5)</f>
        <v>61021</v>
      </c>
      <c r="D5" s="0" t="e">
        <f aca="false">_xlfn.XLOOKUP(I5,calculations!$t:$t,calculations!$s:$s)</f>
        <v>#VALUE!</v>
      </c>
      <c r="E5" s="0" t="str">
        <f aca="false">_xlfn.XLOOKUP(I5,Mapping!$T:$T,Mapping!$Q:$Q)</f>
        <v>AURO01</v>
      </c>
      <c r="F5" s="1" t="n">
        <v>46203</v>
      </c>
      <c r="G5" s="0" t="n">
        <v>61021</v>
      </c>
      <c r="H5" s="0" t="n">
        <v>61021</v>
      </c>
      <c r="I5" s="0" t="n">
        <v>100200</v>
      </c>
      <c r="J5" s="0" t="s">
        <v>182</v>
      </c>
      <c r="K5" s="0" t="s">
        <v>214</v>
      </c>
      <c r="L5" s="0" t="s">
        <v>214</v>
      </c>
      <c r="M5" s="0" t="s">
        <v>184</v>
      </c>
      <c r="N5" s="0" t="n">
        <v>24863000</v>
      </c>
      <c r="O5" s="0" t="n">
        <v>24863000</v>
      </c>
      <c r="P5" s="0" t="s">
        <v>185</v>
      </c>
      <c r="Q5" s="0" t="s">
        <v>186</v>
      </c>
      <c r="R5" s="0" t="s">
        <v>187</v>
      </c>
      <c r="S5" s="0" t="s">
        <v>188</v>
      </c>
      <c r="T5" s="0" t="s">
        <v>189</v>
      </c>
      <c r="U5" s="0" t="s">
        <v>190</v>
      </c>
      <c r="V5" s="0" t="s">
        <v>191</v>
      </c>
      <c r="W5" s="0" t="s">
        <v>192</v>
      </c>
      <c r="X5" s="0" t="s">
        <v>193</v>
      </c>
      <c r="Y5" s="0" t="n">
        <v>8.9</v>
      </c>
      <c r="Z5" s="0" t="s">
        <v>185</v>
      </c>
      <c r="AA5" s="0" t="n">
        <v>1</v>
      </c>
      <c r="AB5" s="0" t="s">
        <v>187</v>
      </c>
      <c r="AC5" s="0" t="n">
        <v>59352000</v>
      </c>
      <c r="AD5" s="0" t="n">
        <v>59352000</v>
      </c>
      <c r="AE5" s="0" t="n">
        <v>59352000</v>
      </c>
      <c r="AF5" s="0" t="n">
        <v>0.4189</v>
      </c>
      <c r="AG5" s="0" t="n">
        <v>24863000</v>
      </c>
      <c r="AH5" s="0" t="n">
        <v>24863000</v>
      </c>
      <c r="AI5" s="0" t="n">
        <v>34489000</v>
      </c>
      <c r="AJ5" s="0" t="n">
        <v>59352000</v>
      </c>
      <c r="AK5" s="0" t="n">
        <v>24863000</v>
      </c>
      <c r="AL5" s="0" t="n">
        <v>24863000</v>
      </c>
      <c r="AM5" s="0" t="s">
        <v>194</v>
      </c>
      <c r="AN5" s="0" t="n">
        <v>3.212</v>
      </c>
      <c r="AO5" s="0" t="n">
        <v>6.46</v>
      </c>
      <c r="AP5" s="0" t="n">
        <v>2.809</v>
      </c>
      <c r="AQ5" s="0" t="n">
        <v>100</v>
      </c>
      <c r="AR5" s="0" t="n">
        <v>100</v>
      </c>
      <c r="AS5" s="1" t="n">
        <v>42349</v>
      </c>
      <c r="AT5" s="1" t="n">
        <v>46915</v>
      </c>
      <c r="AU5" s="1" t="n">
        <v>46295</v>
      </c>
      <c r="AV5" s="0" t="s">
        <v>195</v>
      </c>
      <c r="AW5" s="0" t="s">
        <v>196</v>
      </c>
      <c r="AX5" s="0" t="s">
        <v>187</v>
      </c>
      <c r="AY5" s="0" t="s">
        <v>197</v>
      </c>
      <c r="AZ5" s="0" t="s">
        <v>198</v>
      </c>
      <c r="BA5" s="0" t="s">
        <v>191</v>
      </c>
      <c r="BB5" s="0" t="s">
        <v>196</v>
      </c>
      <c r="BC5" s="0" t="s">
        <v>199</v>
      </c>
      <c r="BI5" s="0" t="n">
        <v>59352000</v>
      </c>
      <c r="BJ5" s="0" t="n">
        <v>59352000</v>
      </c>
      <c r="BK5" s="0" t="s">
        <v>200</v>
      </c>
      <c r="BL5" s="0" t="s">
        <v>201</v>
      </c>
      <c r="BN5" s="0" t="n">
        <v>7.5</v>
      </c>
      <c r="BO5" s="0" t="n">
        <v>1.95</v>
      </c>
      <c r="BP5" s="0" t="s">
        <v>202</v>
      </c>
      <c r="BQ5" s="0" t="s">
        <v>187</v>
      </c>
      <c r="BR5" s="0" t="s">
        <v>203</v>
      </c>
      <c r="BS5" s="0" t="s">
        <v>204</v>
      </c>
      <c r="BT5" s="0" t="s">
        <v>205</v>
      </c>
      <c r="BU5" s="0" t="s">
        <v>205</v>
      </c>
      <c r="BW5" s="0" t="s">
        <v>206</v>
      </c>
      <c r="BX5" s="0" t="s">
        <v>207</v>
      </c>
      <c r="BY5" s="0" t="n">
        <v>165</v>
      </c>
      <c r="BZ5" s="0" t="n">
        <v>165</v>
      </c>
      <c r="CB5" s="0" t="s">
        <v>208</v>
      </c>
      <c r="CC5" s="0" t="s">
        <v>209</v>
      </c>
      <c r="CD5" s="0" t="s">
        <v>209</v>
      </c>
      <c r="CE5" s="0" t="s">
        <v>210</v>
      </c>
      <c r="CF5" s="0" t="s">
        <v>210</v>
      </c>
      <c r="CG5" s="0" t="s">
        <v>211</v>
      </c>
      <c r="CH5" s="1" t="n">
        <v>46112</v>
      </c>
      <c r="CI5" s="0" t="n">
        <v>1.2</v>
      </c>
      <c r="CJ5" s="0" t="n">
        <v>2.29</v>
      </c>
      <c r="CK5" s="0" t="n">
        <v>2.4</v>
      </c>
      <c r="CL5" s="0" t="s">
        <v>212</v>
      </c>
      <c r="DA5" s="0" t="n">
        <v>0.72</v>
      </c>
      <c r="DC5" s="0" t="n">
        <v>0.85</v>
      </c>
      <c r="DD5" s="0" t="s">
        <v>212</v>
      </c>
      <c r="ED5" s="0" t="s">
        <v>212</v>
      </c>
      <c r="EE5" s="0" t="n">
        <v>1.05</v>
      </c>
      <c r="EI5" s="0" t="n">
        <v>1.35</v>
      </c>
      <c r="FQ5" s="0" t="n">
        <v>83702383</v>
      </c>
    </row>
    <row r="6" customFormat="false" ht="15" hidden="false" customHeight="false" outlineLevel="0" collapsed="false">
      <c r="B6" s="0" t="str">
        <f aca="false">C6&amp;"x"&amp;I6</f>
        <v>61015x100200</v>
      </c>
      <c r="C6" s="0" t="n">
        <f aca="false">IF(G6="SINGLE",H6,G6)</f>
        <v>61015</v>
      </c>
      <c r="D6" s="0" t="e">
        <f aca="false">_xlfn.XLOOKUP(I6,calculations!$t:$t,calculations!$s:$s)</f>
        <v>#VALUE!</v>
      </c>
      <c r="E6" s="0" t="str">
        <f aca="false">_xlfn.XLOOKUP(I6,Mapping!$T:$T,Mapping!$Q:$Q)</f>
        <v>AURO01</v>
      </c>
      <c r="F6" s="1" t="n">
        <v>46203</v>
      </c>
      <c r="G6" s="0" t="n">
        <v>61015</v>
      </c>
      <c r="H6" s="0" t="n">
        <v>61015</v>
      </c>
      <c r="I6" s="0" t="n">
        <v>100200</v>
      </c>
      <c r="J6" s="0" t="s">
        <v>182</v>
      </c>
      <c r="K6" s="0" t="s">
        <v>215</v>
      </c>
      <c r="L6" s="0" t="s">
        <v>215</v>
      </c>
      <c r="M6" s="0" t="s">
        <v>184</v>
      </c>
      <c r="N6" s="0" t="n">
        <v>13726000</v>
      </c>
      <c r="O6" s="0" t="n">
        <v>13726000</v>
      </c>
      <c r="P6" s="0" t="s">
        <v>185</v>
      </c>
      <c r="Q6" s="0" t="s">
        <v>186</v>
      </c>
      <c r="R6" s="0" t="s">
        <v>187</v>
      </c>
      <c r="S6" s="0" t="s">
        <v>188</v>
      </c>
      <c r="T6" s="0" t="s">
        <v>189</v>
      </c>
      <c r="U6" s="0" t="s">
        <v>190</v>
      </c>
      <c r="V6" s="0" t="s">
        <v>191</v>
      </c>
      <c r="W6" s="0" t="s">
        <v>192</v>
      </c>
      <c r="X6" s="0" t="s">
        <v>193</v>
      </c>
      <c r="Y6" s="0" t="n">
        <v>8.9</v>
      </c>
      <c r="Z6" s="0" t="s">
        <v>185</v>
      </c>
      <c r="AA6" s="0" t="n">
        <v>1</v>
      </c>
      <c r="AB6" s="0" t="s">
        <v>187</v>
      </c>
      <c r="AC6" s="0" t="n">
        <v>32765000</v>
      </c>
      <c r="AD6" s="0" t="n">
        <v>32765000</v>
      </c>
      <c r="AE6" s="0" t="n">
        <v>32765000</v>
      </c>
      <c r="AF6" s="0" t="n">
        <v>0.4189</v>
      </c>
      <c r="AG6" s="0" t="n">
        <v>13726000</v>
      </c>
      <c r="AH6" s="0" t="n">
        <v>13726000</v>
      </c>
      <c r="AI6" s="0" t="n">
        <v>19039000</v>
      </c>
      <c r="AJ6" s="0" t="n">
        <v>32765000</v>
      </c>
      <c r="AK6" s="0" t="n">
        <v>13726000</v>
      </c>
      <c r="AL6" s="0" t="n">
        <v>13726000</v>
      </c>
      <c r="AM6" s="0" t="s">
        <v>194</v>
      </c>
      <c r="AN6" s="0" t="n">
        <v>2.908</v>
      </c>
      <c r="AO6" s="0" t="n">
        <v>4.526</v>
      </c>
      <c r="AP6" s="0" t="n">
        <v>6.012</v>
      </c>
      <c r="AQ6" s="0" t="n">
        <v>100</v>
      </c>
      <c r="AR6" s="0" t="n">
        <v>100</v>
      </c>
      <c r="AS6" s="1" t="n">
        <v>42349</v>
      </c>
      <c r="AT6" s="1" t="n">
        <v>46915</v>
      </c>
      <c r="AU6" s="1" t="n">
        <v>46295</v>
      </c>
      <c r="AV6" s="0" t="s">
        <v>195</v>
      </c>
      <c r="AW6" s="0" t="s">
        <v>196</v>
      </c>
      <c r="AX6" s="0" t="s">
        <v>187</v>
      </c>
      <c r="AY6" s="0" t="s">
        <v>197</v>
      </c>
      <c r="AZ6" s="0" t="s">
        <v>198</v>
      </c>
      <c r="BA6" s="0" t="s">
        <v>191</v>
      </c>
      <c r="BB6" s="0" t="s">
        <v>196</v>
      </c>
      <c r="BC6" s="0" t="s">
        <v>199</v>
      </c>
      <c r="BI6" s="0" t="n">
        <v>32765000</v>
      </c>
      <c r="BJ6" s="0" t="n">
        <v>32765000</v>
      </c>
      <c r="BK6" s="0" t="s">
        <v>200</v>
      </c>
      <c r="BL6" s="0" t="s">
        <v>201</v>
      </c>
      <c r="BN6" s="0" t="n">
        <v>7.5</v>
      </c>
      <c r="BO6" s="0" t="n">
        <v>1.95</v>
      </c>
      <c r="BP6" s="0" t="s">
        <v>202</v>
      </c>
      <c r="BQ6" s="0" t="s">
        <v>187</v>
      </c>
      <c r="BR6" s="0" t="s">
        <v>203</v>
      </c>
      <c r="BS6" s="0" t="s">
        <v>204</v>
      </c>
      <c r="BT6" s="0" t="s">
        <v>205</v>
      </c>
      <c r="BU6" s="0" t="s">
        <v>216</v>
      </c>
      <c r="BW6" s="0" t="s">
        <v>206</v>
      </c>
      <c r="BX6" s="0" t="s">
        <v>217</v>
      </c>
      <c r="BY6" s="0" t="n">
        <v>165</v>
      </c>
      <c r="BZ6" s="0" t="n">
        <v>165</v>
      </c>
      <c r="CB6" s="0" t="s">
        <v>208</v>
      </c>
      <c r="CC6" s="0" t="s">
        <v>209</v>
      </c>
      <c r="CD6" s="0" t="s">
        <v>209</v>
      </c>
      <c r="CE6" s="0" t="s">
        <v>210</v>
      </c>
      <c r="CF6" s="0" t="s">
        <v>210</v>
      </c>
      <c r="CG6" s="0" t="s">
        <v>211</v>
      </c>
      <c r="CH6" s="1" t="n">
        <v>46112</v>
      </c>
      <c r="CI6" s="0" t="n">
        <v>1.2</v>
      </c>
      <c r="CJ6" s="0" t="n">
        <v>2.91</v>
      </c>
      <c r="CK6" s="0" t="n">
        <v>3.06</v>
      </c>
      <c r="CL6" s="0" t="s">
        <v>212</v>
      </c>
      <c r="DA6" s="0" t="n">
        <v>0.79</v>
      </c>
      <c r="DC6" s="0" t="n">
        <v>0.85</v>
      </c>
      <c r="DD6" s="0" t="s">
        <v>212</v>
      </c>
      <c r="ED6" s="0" t="s">
        <v>213</v>
      </c>
      <c r="EE6" s="0" t="n">
        <v>1.05</v>
      </c>
      <c r="EI6" s="0" t="n">
        <v>1.11</v>
      </c>
      <c r="FQ6" s="0" t="n">
        <v>62586420</v>
      </c>
    </row>
    <row r="7" customFormat="false" ht="15" hidden="false" customHeight="false" outlineLevel="0" collapsed="false">
      <c r="B7" s="0" t="str">
        <f aca="false">C7&amp;"x"&amp;I7</f>
        <v>61007x100200</v>
      </c>
      <c r="C7" s="0" t="n">
        <f aca="false">IF(G7="SINGLE",H7,G7)</f>
        <v>61007</v>
      </c>
      <c r="D7" s="0" t="e">
        <f aca="false">_xlfn.XLOOKUP(I7,calculations!$t:$t,calculations!$s:$s)</f>
        <v>#VALUE!</v>
      </c>
      <c r="E7" s="0" t="str">
        <f aca="false">_xlfn.XLOOKUP(I7,Mapping!$T:$T,Mapping!$Q:$Q)</f>
        <v>AURO01</v>
      </c>
      <c r="F7" s="1" t="n">
        <v>46203</v>
      </c>
      <c r="G7" s="0" t="n">
        <v>61007</v>
      </c>
      <c r="H7" s="0" t="n">
        <v>61007</v>
      </c>
      <c r="I7" s="0" t="n">
        <v>100200</v>
      </c>
      <c r="J7" s="0" t="s">
        <v>182</v>
      </c>
      <c r="K7" s="0" t="s">
        <v>218</v>
      </c>
      <c r="L7" s="0" t="s">
        <v>218</v>
      </c>
      <c r="M7" s="0" t="s">
        <v>184</v>
      </c>
      <c r="N7" s="0" t="n">
        <v>23915000</v>
      </c>
      <c r="O7" s="0" t="n">
        <v>23915000</v>
      </c>
      <c r="P7" s="0" t="s">
        <v>219</v>
      </c>
      <c r="Q7" s="0" t="s">
        <v>186</v>
      </c>
      <c r="R7" s="0" t="s">
        <v>187</v>
      </c>
      <c r="S7" s="0" t="s">
        <v>188</v>
      </c>
      <c r="T7" s="0" t="s">
        <v>189</v>
      </c>
      <c r="U7" s="0" t="s">
        <v>190</v>
      </c>
      <c r="V7" s="0" t="s">
        <v>191</v>
      </c>
      <c r="W7" s="0" t="s">
        <v>192</v>
      </c>
      <c r="X7" s="0" t="s">
        <v>193</v>
      </c>
      <c r="Y7" s="0" t="n">
        <v>8.9</v>
      </c>
      <c r="Z7" s="0" t="s">
        <v>185</v>
      </c>
      <c r="AA7" s="0" t="n">
        <v>1</v>
      </c>
      <c r="AB7" s="0" t="s">
        <v>187</v>
      </c>
      <c r="AC7" s="0" t="n">
        <v>57089000</v>
      </c>
      <c r="AD7" s="0" t="n">
        <v>57089000</v>
      </c>
      <c r="AE7" s="0" t="n">
        <v>57089000</v>
      </c>
      <c r="AF7" s="0" t="n">
        <v>0.4189</v>
      </c>
      <c r="AG7" s="0" t="n">
        <v>23915000</v>
      </c>
      <c r="AH7" s="0" t="n">
        <v>23915000</v>
      </c>
      <c r="AI7" s="0" t="n">
        <v>33174000</v>
      </c>
      <c r="AJ7" s="0" t="n">
        <v>57089000</v>
      </c>
      <c r="AK7" s="0" t="n">
        <v>23915000</v>
      </c>
      <c r="AL7" s="0" t="n">
        <v>23915000</v>
      </c>
      <c r="AM7" s="0" t="s">
        <v>194</v>
      </c>
      <c r="AN7" s="0" t="n">
        <v>4.386</v>
      </c>
      <c r="AO7" s="0" t="n">
        <v>4.368</v>
      </c>
      <c r="AP7" s="0" t="n">
        <v>5.244</v>
      </c>
      <c r="AQ7" s="0" t="n">
        <v>100</v>
      </c>
      <c r="AR7" s="0" t="n">
        <v>100</v>
      </c>
      <c r="AS7" s="1" t="n">
        <v>42349</v>
      </c>
      <c r="AT7" s="1" t="n">
        <v>46915</v>
      </c>
      <c r="AU7" s="1" t="n">
        <v>46295</v>
      </c>
      <c r="AV7" s="0" t="s">
        <v>195</v>
      </c>
      <c r="AW7" s="0" t="s">
        <v>196</v>
      </c>
      <c r="AX7" s="0" t="s">
        <v>187</v>
      </c>
      <c r="AY7" s="0" t="s">
        <v>197</v>
      </c>
      <c r="AZ7" s="0" t="s">
        <v>198</v>
      </c>
      <c r="BA7" s="0" t="s">
        <v>191</v>
      </c>
      <c r="BB7" s="0" t="s">
        <v>196</v>
      </c>
      <c r="BC7" s="0" t="s">
        <v>199</v>
      </c>
      <c r="BI7" s="0" t="n">
        <v>57089000</v>
      </c>
      <c r="BJ7" s="0" t="n">
        <v>57089000</v>
      </c>
      <c r="BK7" s="0" t="s">
        <v>200</v>
      </c>
      <c r="BL7" s="0" t="s">
        <v>201</v>
      </c>
      <c r="BN7" s="0" t="n">
        <v>7.5</v>
      </c>
      <c r="BO7" s="0" t="n">
        <v>1.95</v>
      </c>
      <c r="BP7" s="0" t="s">
        <v>202</v>
      </c>
      <c r="BQ7" s="0" t="s">
        <v>187</v>
      </c>
      <c r="BR7" s="0" t="s">
        <v>203</v>
      </c>
      <c r="BS7" s="0" t="s">
        <v>204</v>
      </c>
      <c r="BT7" s="0" t="s">
        <v>205</v>
      </c>
      <c r="BU7" s="0" t="s">
        <v>220</v>
      </c>
      <c r="BW7" s="0" t="s">
        <v>206</v>
      </c>
      <c r="BX7" s="0" t="s">
        <v>217</v>
      </c>
      <c r="BY7" s="0" t="n">
        <v>165</v>
      </c>
      <c r="BZ7" s="0" t="n">
        <v>165</v>
      </c>
      <c r="CB7" s="0" t="s">
        <v>208</v>
      </c>
      <c r="CC7" s="0" t="s">
        <v>209</v>
      </c>
      <c r="CD7" s="0" t="s">
        <v>209</v>
      </c>
      <c r="CE7" s="0" t="s">
        <v>210</v>
      </c>
      <c r="CF7" s="0" t="s">
        <v>210</v>
      </c>
      <c r="CG7" s="0" t="s">
        <v>211</v>
      </c>
      <c r="CH7" s="1" t="n">
        <v>46112</v>
      </c>
      <c r="CI7" s="0" t="n">
        <v>1.2</v>
      </c>
      <c r="CJ7" s="0" t="n">
        <v>1.78</v>
      </c>
      <c r="CK7" s="0" t="n">
        <v>1.87</v>
      </c>
      <c r="CL7" s="0" t="s">
        <v>212</v>
      </c>
      <c r="DA7" s="0" t="n">
        <v>0.7</v>
      </c>
      <c r="DC7" s="0" t="n">
        <v>0.85</v>
      </c>
      <c r="DD7" s="0" t="s">
        <v>212</v>
      </c>
      <c r="ED7" s="0" t="s">
        <v>213</v>
      </c>
      <c r="EE7" s="0" t="n">
        <v>1.05</v>
      </c>
      <c r="EI7" s="0" t="n">
        <v>1.1</v>
      </c>
      <c r="FQ7" s="0" t="n">
        <v>58695684</v>
      </c>
    </row>
    <row r="8" customFormat="false" ht="15" hidden="false" customHeight="false" outlineLevel="0" collapsed="false">
      <c r="B8" s="0" t="str">
        <f aca="false">C8&amp;"x"&amp;I8</f>
        <v>61023x100200</v>
      </c>
      <c r="C8" s="0" t="n">
        <f aca="false">IF(G8="SINGLE",H8,G8)</f>
        <v>61023</v>
      </c>
      <c r="D8" s="0" t="e">
        <f aca="false">_xlfn.XLOOKUP(I8,calculations!$t:$t,calculations!$s:$s)</f>
        <v>#VALUE!</v>
      </c>
      <c r="E8" s="0" t="str">
        <f aca="false">_xlfn.XLOOKUP(I8,Mapping!$T:$T,Mapping!$Q:$Q)</f>
        <v>AURO01</v>
      </c>
      <c r="F8" s="1" t="n">
        <v>46203</v>
      </c>
      <c r="G8" s="0" t="n">
        <v>61023</v>
      </c>
      <c r="H8" s="0" t="n">
        <v>61023</v>
      </c>
      <c r="I8" s="0" t="n">
        <v>100200</v>
      </c>
      <c r="J8" s="0" t="s">
        <v>182</v>
      </c>
      <c r="K8" s="0" t="s">
        <v>221</v>
      </c>
      <c r="L8" s="0" t="s">
        <v>221</v>
      </c>
      <c r="M8" s="0" t="s">
        <v>184</v>
      </c>
      <c r="N8" s="0" t="n">
        <v>38584000</v>
      </c>
      <c r="O8" s="0" t="n">
        <v>38584000</v>
      </c>
      <c r="P8" s="0" t="s">
        <v>185</v>
      </c>
      <c r="Q8" s="0" t="s">
        <v>186</v>
      </c>
      <c r="R8" s="0" t="s">
        <v>187</v>
      </c>
      <c r="S8" s="0" t="s">
        <v>188</v>
      </c>
      <c r="T8" s="0" t="s">
        <v>189</v>
      </c>
      <c r="U8" s="0" t="s">
        <v>190</v>
      </c>
      <c r="V8" s="0" t="s">
        <v>191</v>
      </c>
      <c r="W8" s="0" t="s">
        <v>192</v>
      </c>
      <c r="X8" s="0" t="s">
        <v>193</v>
      </c>
      <c r="Y8" s="0" t="n">
        <v>8.9</v>
      </c>
      <c r="Z8" s="0" t="s">
        <v>185</v>
      </c>
      <c r="AA8" s="0" t="n">
        <v>1</v>
      </c>
      <c r="AB8" s="0" t="s">
        <v>187</v>
      </c>
      <c r="AC8" s="0" t="n">
        <v>92104000</v>
      </c>
      <c r="AD8" s="0" t="n">
        <v>92104000</v>
      </c>
      <c r="AE8" s="0" t="n">
        <v>92104000</v>
      </c>
      <c r="AF8" s="0" t="n">
        <v>0.4189</v>
      </c>
      <c r="AG8" s="0" t="n">
        <v>38584000</v>
      </c>
      <c r="AH8" s="0" t="n">
        <v>38584000</v>
      </c>
      <c r="AI8" s="0" t="n">
        <v>53520000</v>
      </c>
      <c r="AJ8" s="0" t="n">
        <v>92104000</v>
      </c>
      <c r="AK8" s="0" t="n">
        <v>38584000</v>
      </c>
      <c r="AL8" s="0" t="n">
        <v>38584000</v>
      </c>
      <c r="AM8" s="0" t="s">
        <v>194</v>
      </c>
      <c r="AN8" s="0" t="n">
        <v>3.204</v>
      </c>
      <c r="AO8" s="0" t="n">
        <v>2.599</v>
      </c>
      <c r="AP8" s="0" t="n">
        <v>3.73</v>
      </c>
      <c r="AQ8" s="0" t="n">
        <v>100</v>
      </c>
      <c r="AR8" s="0" t="n">
        <v>100</v>
      </c>
      <c r="AS8" s="1" t="n">
        <v>42349</v>
      </c>
      <c r="AT8" s="1" t="n">
        <v>46915</v>
      </c>
      <c r="AU8" s="1" t="n">
        <v>46295</v>
      </c>
      <c r="AV8" s="0" t="s">
        <v>195</v>
      </c>
      <c r="AW8" s="0" t="s">
        <v>196</v>
      </c>
      <c r="AX8" s="0" t="s">
        <v>187</v>
      </c>
      <c r="AY8" s="0" t="s">
        <v>197</v>
      </c>
      <c r="AZ8" s="0" t="s">
        <v>198</v>
      </c>
      <c r="BA8" s="0" t="s">
        <v>191</v>
      </c>
      <c r="BB8" s="0" t="s">
        <v>196</v>
      </c>
      <c r="BC8" s="0" t="s">
        <v>199</v>
      </c>
      <c r="BI8" s="0" t="n">
        <v>92104000</v>
      </c>
      <c r="BJ8" s="0" t="n">
        <v>92104000</v>
      </c>
      <c r="BK8" s="0" t="s">
        <v>200</v>
      </c>
      <c r="BL8" s="0" t="s">
        <v>201</v>
      </c>
      <c r="BN8" s="0" t="n">
        <v>7.5</v>
      </c>
      <c r="BO8" s="0" t="n">
        <v>1.95</v>
      </c>
      <c r="BP8" s="0" t="s">
        <v>202</v>
      </c>
      <c r="BQ8" s="0" t="s">
        <v>187</v>
      </c>
      <c r="BR8" s="0" t="s">
        <v>203</v>
      </c>
      <c r="BS8" s="0" t="s">
        <v>204</v>
      </c>
      <c r="BT8" s="0" t="s">
        <v>205</v>
      </c>
      <c r="BU8" s="0" t="s">
        <v>220</v>
      </c>
      <c r="BW8" s="0" t="s">
        <v>206</v>
      </c>
      <c r="BX8" s="0" t="s">
        <v>217</v>
      </c>
      <c r="BY8" s="0" t="n">
        <v>165</v>
      </c>
      <c r="BZ8" s="0" t="n">
        <v>165</v>
      </c>
      <c r="CB8" s="0" t="s">
        <v>208</v>
      </c>
      <c r="CC8" s="0" t="s">
        <v>209</v>
      </c>
      <c r="CD8" s="0" t="s">
        <v>209</v>
      </c>
      <c r="CE8" s="0" t="s">
        <v>210</v>
      </c>
      <c r="CF8" s="0" t="s">
        <v>210</v>
      </c>
      <c r="CG8" s="0" t="s">
        <v>211</v>
      </c>
      <c r="CH8" s="1" t="n">
        <v>46112</v>
      </c>
      <c r="CI8" s="0" t="n">
        <v>1.2</v>
      </c>
      <c r="CJ8" s="0" t="n">
        <v>2.86</v>
      </c>
      <c r="CK8" s="0" t="n">
        <v>3</v>
      </c>
      <c r="CL8" s="0" t="s">
        <v>212</v>
      </c>
      <c r="DA8" s="0" t="n">
        <v>0.81</v>
      </c>
      <c r="DC8" s="0" t="n">
        <v>0.85</v>
      </c>
      <c r="DD8" s="0" t="s">
        <v>213</v>
      </c>
      <c r="ED8" s="0" t="s">
        <v>212</v>
      </c>
      <c r="EE8" s="0" t="n">
        <v>1.05</v>
      </c>
      <c r="EI8" s="0" t="n">
        <v>1.34</v>
      </c>
      <c r="FQ8" s="0" t="n">
        <v>69307283</v>
      </c>
    </row>
    <row r="9" customFormat="false" ht="15" hidden="false" customHeight="false" outlineLevel="0" collapsed="false">
      <c r="B9" s="0" t="str">
        <f aca="false">C9&amp;"x"&amp;I9</f>
        <v>61003x100200</v>
      </c>
      <c r="C9" s="0" t="n">
        <f aca="false">IF(G9="SINGLE",H9,G9)</f>
        <v>61003</v>
      </c>
      <c r="D9" s="0" t="e">
        <f aca="false">_xlfn.XLOOKUP(I9,calculations!$t:$t,calculations!$s:$s)</f>
        <v>#VALUE!</v>
      </c>
      <c r="E9" s="0" t="str">
        <f aca="false">_xlfn.XLOOKUP(I9,Mapping!$T:$T,Mapping!$Q:$Q)</f>
        <v>AURO01</v>
      </c>
      <c r="F9" s="1" t="n">
        <v>46203</v>
      </c>
      <c r="G9" s="0" t="s">
        <v>222</v>
      </c>
      <c r="H9" s="0" t="n">
        <v>61003</v>
      </c>
      <c r="I9" s="0" t="n">
        <v>100200</v>
      </c>
      <c r="J9" s="0" t="s">
        <v>182</v>
      </c>
      <c r="K9" s="0" t="s">
        <v>223</v>
      </c>
      <c r="L9" s="0" t="s">
        <v>223</v>
      </c>
      <c r="M9" s="0" t="s">
        <v>184</v>
      </c>
      <c r="N9" s="0" t="n">
        <v>14535000</v>
      </c>
      <c r="O9" s="0" t="n">
        <v>14535000</v>
      </c>
      <c r="P9" s="0" t="s">
        <v>185</v>
      </c>
      <c r="Q9" s="0" t="s">
        <v>186</v>
      </c>
      <c r="R9" s="0" t="s">
        <v>187</v>
      </c>
      <c r="S9" s="0" t="s">
        <v>188</v>
      </c>
      <c r="T9" s="0" t="s">
        <v>189</v>
      </c>
      <c r="U9" s="0" t="s">
        <v>190</v>
      </c>
      <c r="V9" s="0" t="s">
        <v>191</v>
      </c>
      <c r="W9" s="0" t="s">
        <v>192</v>
      </c>
      <c r="X9" s="0" t="s">
        <v>193</v>
      </c>
      <c r="Y9" s="0" t="n">
        <v>8.9</v>
      </c>
      <c r="Z9" s="0" t="s">
        <v>185</v>
      </c>
      <c r="AA9" s="0" t="n">
        <v>1</v>
      </c>
      <c r="AB9" s="0" t="s">
        <v>187</v>
      </c>
      <c r="AC9" s="0" t="n">
        <v>34696000</v>
      </c>
      <c r="AD9" s="0" t="n">
        <v>34696000</v>
      </c>
      <c r="AE9" s="0" t="n">
        <v>34696000</v>
      </c>
      <c r="AF9" s="0" t="n">
        <v>0.4189</v>
      </c>
      <c r="AG9" s="0" t="n">
        <v>14535000</v>
      </c>
      <c r="AH9" s="0" t="n">
        <v>14535000</v>
      </c>
      <c r="AI9" s="0" t="n">
        <v>20161000</v>
      </c>
      <c r="AJ9" s="0" t="n">
        <v>34696000</v>
      </c>
      <c r="AK9" s="0" t="n">
        <v>14535000</v>
      </c>
      <c r="AL9" s="0" t="n">
        <v>14535000</v>
      </c>
      <c r="AM9" s="0" t="s">
        <v>194</v>
      </c>
      <c r="AN9" s="0" t="n">
        <v>2.597</v>
      </c>
      <c r="AO9" s="0" t="n">
        <v>3.69</v>
      </c>
      <c r="AP9" s="0" t="n">
        <v>6.314</v>
      </c>
      <c r="AQ9" s="0" t="n">
        <v>100</v>
      </c>
      <c r="AR9" s="0" t="n">
        <v>100</v>
      </c>
      <c r="AS9" s="1" t="n">
        <v>42349</v>
      </c>
      <c r="AT9" s="1" t="n">
        <v>46915</v>
      </c>
      <c r="AU9" s="1" t="n">
        <v>46295</v>
      </c>
      <c r="AV9" s="0" t="s">
        <v>195</v>
      </c>
      <c r="AW9" s="0" t="s">
        <v>196</v>
      </c>
      <c r="AX9" s="0" t="s">
        <v>187</v>
      </c>
      <c r="AY9" s="0" t="s">
        <v>197</v>
      </c>
      <c r="AZ9" s="0" t="s">
        <v>198</v>
      </c>
      <c r="BA9" s="0" t="s">
        <v>191</v>
      </c>
      <c r="BB9" s="0" t="s">
        <v>196</v>
      </c>
      <c r="BC9" s="0" t="s">
        <v>199</v>
      </c>
      <c r="BI9" s="0" t="n">
        <v>34696000</v>
      </c>
      <c r="BJ9" s="0" t="n">
        <v>34696000</v>
      </c>
      <c r="BK9" s="0" t="s">
        <v>200</v>
      </c>
      <c r="BL9" s="0" t="s">
        <v>201</v>
      </c>
      <c r="BN9" s="0" t="n">
        <v>7.5</v>
      </c>
      <c r="BO9" s="0" t="n">
        <v>1.95</v>
      </c>
      <c r="BP9" s="0" t="s">
        <v>202</v>
      </c>
      <c r="BQ9" s="0" t="s">
        <v>187</v>
      </c>
      <c r="BR9" s="0" t="s">
        <v>203</v>
      </c>
      <c r="BS9" s="0" t="s">
        <v>204</v>
      </c>
      <c r="BT9" s="0" t="s">
        <v>205</v>
      </c>
      <c r="BU9" s="0" t="s">
        <v>224</v>
      </c>
      <c r="BW9" s="0" t="s">
        <v>206</v>
      </c>
      <c r="BX9" s="0" t="s">
        <v>217</v>
      </c>
      <c r="BY9" s="0" t="n">
        <v>165</v>
      </c>
      <c r="BZ9" s="0" t="n">
        <v>165</v>
      </c>
      <c r="CB9" s="0" t="s">
        <v>208</v>
      </c>
      <c r="CC9" s="0" t="s">
        <v>209</v>
      </c>
      <c r="CD9" s="0" t="s">
        <v>209</v>
      </c>
      <c r="CE9" s="0" t="s">
        <v>210</v>
      </c>
      <c r="CF9" s="0" t="s">
        <v>210</v>
      </c>
      <c r="CG9" s="0" t="s">
        <v>211</v>
      </c>
      <c r="CH9" s="1" t="n">
        <v>46112</v>
      </c>
      <c r="CI9" s="0" t="n">
        <v>1.2</v>
      </c>
      <c r="CJ9" s="0" t="n">
        <v>3.26</v>
      </c>
      <c r="CK9" s="0" t="n">
        <v>3.42</v>
      </c>
      <c r="CL9" s="0" t="s">
        <v>212</v>
      </c>
      <c r="DA9" s="0" t="n">
        <v>0.48</v>
      </c>
      <c r="DC9" s="0" t="n">
        <v>0.85</v>
      </c>
      <c r="DD9" s="0" t="s">
        <v>212</v>
      </c>
      <c r="ED9" s="0" t="s">
        <v>212</v>
      </c>
      <c r="EE9" s="0" t="n">
        <v>1.05</v>
      </c>
      <c r="EI9" s="0" t="n">
        <v>1.55</v>
      </c>
      <c r="FQ9" s="0" t="n">
        <v>74889817</v>
      </c>
    </row>
    <row r="10" customFormat="false" ht="15" hidden="false" customHeight="false" outlineLevel="0" collapsed="false">
      <c r="B10" s="0" t="str">
        <f aca="false">C10&amp;"x"&amp;I10</f>
        <v>61003x100201</v>
      </c>
      <c r="C10" s="0" t="n">
        <f aca="false">IF(G10="SINGLE",H10,G10)</f>
        <v>61003</v>
      </c>
      <c r="D10" s="0" t="e">
        <f aca="false">_xlfn.XLOOKUP(I10,calculations!$t:$t,calculations!$s:$s)</f>
        <v>#VALUE!</v>
      </c>
      <c r="E10" s="0" t="str">
        <f aca="false">_xlfn.XLOOKUP(I10,Mapping!$T:$T,Mapping!$Q:$Q)</f>
        <v>BEAC02</v>
      </c>
      <c r="F10" s="1" t="n">
        <v>46203</v>
      </c>
      <c r="G10" s="0" t="n">
        <v>61003</v>
      </c>
      <c r="H10" s="0" t="n">
        <v>61003</v>
      </c>
      <c r="I10" s="0" t="n">
        <v>100201</v>
      </c>
      <c r="J10" s="0" t="s">
        <v>225</v>
      </c>
      <c r="K10" s="0" t="s">
        <v>226</v>
      </c>
      <c r="L10" s="0" t="s">
        <v>226</v>
      </c>
      <c r="M10" s="0" t="s">
        <v>184</v>
      </c>
      <c r="N10" s="0" t="n">
        <v>57363000</v>
      </c>
      <c r="O10" s="0" t="n">
        <v>67091228.07</v>
      </c>
      <c r="P10" s="0" t="s">
        <v>185</v>
      </c>
      <c r="Q10" s="0" t="s">
        <v>227</v>
      </c>
      <c r="R10" s="0" t="s">
        <v>202</v>
      </c>
      <c r="S10" s="0" t="s">
        <v>228</v>
      </c>
      <c r="T10" s="0" t="s">
        <v>189</v>
      </c>
      <c r="U10" s="0" t="s">
        <v>229</v>
      </c>
      <c r="V10" s="0" t="s">
        <v>230</v>
      </c>
      <c r="W10" s="0" t="s">
        <v>231</v>
      </c>
      <c r="X10" s="0" t="s">
        <v>232</v>
      </c>
      <c r="Y10" s="0" t="n">
        <v>10.5</v>
      </c>
      <c r="Z10" s="0" t="s">
        <v>219</v>
      </c>
      <c r="AA10" s="0" t="n">
        <v>0.855</v>
      </c>
      <c r="AB10" s="0" t="s">
        <v>202</v>
      </c>
      <c r="AC10" s="0" t="n">
        <v>143610000</v>
      </c>
      <c r="AD10" s="0" t="n">
        <v>136771000</v>
      </c>
      <c r="AE10" s="0" t="n">
        <v>159966081.87</v>
      </c>
      <c r="AF10" s="0" t="n">
        <v>0.4194</v>
      </c>
      <c r="AG10" s="0" t="n">
        <v>57363000</v>
      </c>
      <c r="AH10" s="0" t="n">
        <v>57363000</v>
      </c>
      <c r="AI10" s="0" t="n">
        <v>79408000</v>
      </c>
      <c r="AJ10" s="0" t="n">
        <v>136771000</v>
      </c>
      <c r="AK10" s="0" t="n">
        <v>57363000</v>
      </c>
      <c r="AL10" s="0" t="n">
        <v>57363000</v>
      </c>
      <c r="AM10" s="0" t="s">
        <v>194</v>
      </c>
      <c r="AN10" s="0" t="n">
        <v>3.228</v>
      </c>
      <c r="AO10" s="0" t="n">
        <v>3.234</v>
      </c>
      <c r="AP10" s="0" t="n">
        <v>4.545</v>
      </c>
      <c r="AQ10" s="0" t="n">
        <v>100</v>
      </c>
      <c r="AR10" s="0" t="n">
        <v>100</v>
      </c>
      <c r="AS10" s="1" t="n">
        <v>45048</v>
      </c>
      <c r="AT10" s="1" t="n">
        <v>50346</v>
      </c>
      <c r="AU10" s="1" t="n">
        <v>46295</v>
      </c>
      <c r="AV10" s="0" t="s">
        <v>233</v>
      </c>
      <c r="AW10" s="0" t="s">
        <v>234</v>
      </c>
      <c r="AX10" s="0" t="s">
        <v>187</v>
      </c>
      <c r="AY10" s="0" t="s">
        <v>235</v>
      </c>
      <c r="AZ10" s="0" t="s">
        <v>236</v>
      </c>
      <c r="BA10" s="0" t="s">
        <v>230</v>
      </c>
      <c r="BB10" s="0" t="s">
        <v>234</v>
      </c>
      <c r="BC10" s="0" t="s">
        <v>237</v>
      </c>
      <c r="BI10" s="0" t="n">
        <v>136771000</v>
      </c>
      <c r="BJ10" s="0" t="n">
        <v>159966081.87</v>
      </c>
      <c r="BK10" s="0" t="s">
        <v>200</v>
      </c>
      <c r="BL10" s="0" t="s">
        <v>201</v>
      </c>
      <c r="BN10" s="0" t="n">
        <v>8.7</v>
      </c>
      <c r="BO10" s="0" t="n">
        <v>11.34</v>
      </c>
      <c r="BP10" s="0" t="s">
        <v>202</v>
      </c>
      <c r="BQ10" s="0" t="s">
        <v>187</v>
      </c>
      <c r="BR10" s="0" t="s">
        <v>203</v>
      </c>
      <c r="BS10" s="0" t="s">
        <v>238</v>
      </c>
      <c r="BT10" s="0" t="s">
        <v>205</v>
      </c>
      <c r="BU10" s="0" t="s">
        <v>220</v>
      </c>
      <c r="BW10" s="0" t="s">
        <v>206</v>
      </c>
      <c r="BX10" s="0" t="s">
        <v>217</v>
      </c>
      <c r="BY10" s="0" t="n">
        <v>345</v>
      </c>
      <c r="BZ10" s="0" t="n">
        <v>345</v>
      </c>
      <c r="CB10" s="0" t="s">
        <v>208</v>
      </c>
      <c r="CC10" s="0" t="s">
        <v>239</v>
      </c>
      <c r="CD10" s="0" t="s">
        <v>239</v>
      </c>
      <c r="CE10" s="0" t="s">
        <v>209</v>
      </c>
      <c r="CF10" s="0" t="s">
        <v>211</v>
      </c>
      <c r="CG10" s="0" t="s">
        <v>240</v>
      </c>
      <c r="CH10" s="1" t="n">
        <v>46112</v>
      </c>
      <c r="CI10" s="0" t="n">
        <v>1.2</v>
      </c>
      <c r="CJ10" s="0" t="n">
        <v>1.93</v>
      </c>
      <c r="CK10" s="0" t="n">
        <v>2.03</v>
      </c>
      <c r="CL10" s="0" t="s">
        <v>212</v>
      </c>
      <c r="DA10" s="0" t="n">
        <v>0.72</v>
      </c>
      <c r="DC10" s="0" t="n">
        <v>0.85</v>
      </c>
      <c r="DD10" s="0" t="s">
        <v>212</v>
      </c>
      <c r="ED10" s="0" t="s">
        <v>212</v>
      </c>
      <c r="EE10" s="0" t="n">
        <v>1.05</v>
      </c>
      <c r="EI10" s="0" t="n">
        <v>1.48</v>
      </c>
      <c r="FQ10" s="0" t="n">
        <v>74758575</v>
      </c>
    </row>
    <row r="11" customFormat="false" ht="15" hidden="false" customHeight="false" outlineLevel="0" collapsed="false">
      <c r="B11" s="0" t="str">
        <f aca="false">C11&amp;"x"&amp;I11</f>
        <v>61014x100201</v>
      </c>
      <c r="C11" s="0" t="n">
        <f aca="false">IF(G11="SINGLE",H11,G11)</f>
        <v>61014</v>
      </c>
      <c r="D11" s="0" t="e">
        <f aca="false">_xlfn.XLOOKUP(I11,calculations!$t:$t,calculations!$s:$s)</f>
        <v>#VALUE!</v>
      </c>
      <c r="E11" s="0" t="str">
        <f aca="false">_xlfn.XLOOKUP(I11,Mapping!$T:$T,Mapping!$Q:$Q)</f>
        <v>BEAC02</v>
      </c>
      <c r="F11" s="1" t="n">
        <v>46203</v>
      </c>
      <c r="G11" s="0" t="n">
        <v>61014</v>
      </c>
      <c r="H11" s="0" t="n">
        <v>61014</v>
      </c>
      <c r="I11" s="0" t="n">
        <v>100201</v>
      </c>
      <c r="J11" s="0" t="s">
        <v>225</v>
      </c>
      <c r="K11" s="0" t="s">
        <v>241</v>
      </c>
      <c r="L11" s="0" t="s">
        <v>241</v>
      </c>
      <c r="M11" s="0" t="s">
        <v>184</v>
      </c>
      <c r="N11" s="0" t="n">
        <v>113600000</v>
      </c>
      <c r="O11" s="0" t="n">
        <v>132865497.08</v>
      </c>
      <c r="P11" s="0" t="s">
        <v>185</v>
      </c>
      <c r="Q11" s="0" t="s">
        <v>227</v>
      </c>
      <c r="R11" s="0" t="s">
        <v>202</v>
      </c>
      <c r="S11" s="0" t="s">
        <v>228</v>
      </c>
      <c r="T11" s="0" t="s">
        <v>189</v>
      </c>
      <c r="U11" s="0" t="s">
        <v>229</v>
      </c>
      <c r="V11" s="0" t="s">
        <v>230</v>
      </c>
      <c r="W11" s="0" t="s">
        <v>231</v>
      </c>
      <c r="X11" s="0" t="s">
        <v>232</v>
      </c>
      <c r="Y11" s="0" t="n">
        <v>10.5</v>
      </c>
      <c r="Z11" s="0" t="s">
        <v>219</v>
      </c>
      <c r="AA11" s="0" t="n">
        <v>0.855</v>
      </c>
      <c r="AB11" s="0" t="s">
        <v>202</v>
      </c>
      <c r="AC11" s="0" t="n">
        <v>284399000</v>
      </c>
      <c r="AD11" s="0" t="n">
        <v>270856000</v>
      </c>
      <c r="AE11" s="0" t="n">
        <v>316790643.27</v>
      </c>
      <c r="AF11" s="0" t="n">
        <v>0.4194</v>
      </c>
      <c r="AG11" s="0" t="n">
        <v>113600000</v>
      </c>
      <c r="AH11" s="0" t="n">
        <v>113600000</v>
      </c>
      <c r="AI11" s="0" t="n">
        <v>157256000</v>
      </c>
      <c r="AJ11" s="0" t="n">
        <v>270856000</v>
      </c>
      <c r="AK11" s="0" t="n">
        <v>113600000</v>
      </c>
      <c r="AL11" s="0" t="n">
        <v>113600000</v>
      </c>
      <c r="AM11" s="0" t="s">
        <v>194</v>
      </c>
      <c r="AN11" s="0" t="n">
        <v>6.226</v>
      </c>
      <c r="AO11" s="0" t="n">
        <v>5.616</v>
      </c>
      <c r="AP11" s="0" t="n">
        <v>3.178</v>
      </c>
      <c r="AQ11" s="0" t="n">
        <v>100</v>
      </c>
      <c r="AR11" s="0" t="n">
        <v>100</v>
      </c>
      <c r="AS11" s="1" t="n">
        <v>45048</v>
      </c>
      <c r="AT11" s="1" t="n">
        <v>50346</v>
      </c>
      <c r="AU11" s="1" t="n">
        <v>46295</v>
      </c>
      <c r="AV11" s="0" t="s">
        <v>233</v>
      </c>
      <c r="AW11" s="0" t="s">
        <v>234</v>
      </c>
      <c r="AX11" s="0" t="s">
        <v>187</v>
      </c>
      <c r="AY11" s="0" t="s">
        <v>235</v>
      </c>
      <c r="AZ11" s="0" t="s">
        <v>236</v>
      </c>
      <c r="BA11" s="0" t="s">
        <v>230</v>
      </c>
      <c r="BB11" s="0" t="s">
        <v>234</v>
      </c>
      <c r="BC11" s="0" t="s">
        <v>237</v>
      </c>
      <c r="BI11" s="0" t="n">
        <v>270856000</v>
      </c>
      <c r="BJ11" s="0" t="n">
        <v>316790643.27</v>
      </c>
      <c r="BK11" s="0" t="s">
        <v>200</v>
      </c>
      <c r="BL11" s="0" t="s">
        <v>201</v>
      </c>
      <c r="BN11" s="0" t="n">
        <v>8.7</v>
      </c>
      <c r="BO11" s="0" t="n">
        <v>11.34</v>
      </c>
      <c r="BP11" s="0" t="s">
        <v>202</v>
      </c>
      <c r="BQ11" s="0" t="s">
        <v>187</v>
      </c>
      <c r="BR11" s="0" t="s">
        <v>203</v>
      </c>
      <c r="BS11" s="0" t="s">
        <v>238</v>
      </c>
      <c r="BT11" s="0" t="s">
        <v>205</v>
      </c>
      <c r="BU11" s="0" t="s">
        <v>224</v>
      </c>
      <c r="BW11" s="0" t="s">
        <v>206</v>
      </c>
      <c r="BX11" s="0" t="s">
        <v>217</v>
      </c>
      <c r="BY11" s="0" t="n">
        <v>345</v>
      </c>
      <c r="BZ11" s="0" t="n">
        <v>345</v>
      </c>
      <c r="CB11" s="0" t="s">
        <v>208</v>
      </c>
      <c r="CC11" s="0" t="s">
        <v>239</v>
      </c>
      <c r="CD11" s="0" t="s">
        <v>239</v>
      </c>
      <c r="CE11" s="0" t="s">
        <v>209</v>
      </c>
      <c r="CF11" s="0" t="s">
        <v>211</v>
      </c>
      <c r="CG11" s="0" t="s">
        <v>240</v>
      </c>
      <c r="CH11" s="1" t="n">
        <v>46112</v>
      </c>
      <c r="CI11" s="0" t="n">
        <v>1.2</v>
      </c>
      <c r="CJ11" s="0" t="n">
        <v>2.62</v>
      </c>
      <c r="CK11" s="0" t="n">
        <v>2.75</v>
      </c>
      <c r="CL11" s="0" t="s">
        <v>212</v>
      </c>
      <c r="DA11" s="0" t="n">
        <v>0.69</v>
      </c>
      <c r="DC11" s="0" t="n">
        <v>0.85</v>
      </c>
      <c r="DD11" s="0" t="s">
        <v>212</v>
      </c>
      <c r="ED11" s="0" t="s">
        <v>212</v>
      </c>
      <c r="EE11" s="0" t="n">
        <v>1.05</v>
      </c>
      <c r="EI11" s="0" t="n">
        <v>1.49</v>
      </c>
      <c r="FQ11" s="0" t="n">
        <v>104056878</v>
      </c>
    </row>
    <row r="12" customFormat="false" ht="15" hidden="false" customHeight="false" outlineLevel="0" collapsed="false">
      <c r="B12" s="0" t="str">
        <f aca="false">C12&amp;"x"&amp;I12</f>
        <v>61009x100202</v>
      </c>
      <c r="C12" s="0" t="n">
        <f aca="false">IF(G12="SINGLE",H12,G12)</f>
        <v>61009</v>
      </c>
      <c r="D12" s="0" t="e">
        <f aca="false">_xlfn.XLOOKUP(I12,calculations!$t:$t,calculations!$s:$s)</f>
        <v>#VALUE!</v>
      </c>
      <c r="E12" s="0" t="str">
        <f aca="false">_xlfn.XLOOKUP(I12,Mapping!$T:$T,Mapping!$Q:$Q)</f>
        <v>CASC03</v>
      </c>
      <c r="F12" s="1" t="n">
        <v>46203</v>
      </c>
      <c r="G12" s="0" t="n">
        <v>61009</v>
      </c>
      <c r="H12" s="0" t="n">
        <v>61009</v>
      </c>
      <c r="I12" s="0" t="n">
        <v>100202</v>
      </c>
      <c r="J12" s="0" t="s">
        <v>242</v>
      </c>
      <c r="K12" s="0" t="s">
        <v>243</v>
      </c>
      <c r="L12" s="0" t="s">
        <v>243</v>
      </c>
      <c r="M12" s="0" t="s">
        <v>184</v>
      </c>
      <c r="N12" s="0" t="n">
        <v>69543000</v>
      </c>
      <c r="O12" s="0" t="n">
        <v>69543000</v>
      </c>
      <c r="P12" s="0" t="s">
        <v>244</v>
      </c>
      <c r="Q12" s="0" t="s">
        <v>227</v>
      </c>
      <c r="R12" s="0" t="s">
        <v>187</v>
      </c>
      <c r="S12" s="0" t="s">
        <v>245</v>
      </c>
      <c r="T12" s="0" t="s">
        <v>189</v>
      </c>
      <c r="U12" s="0" t="s">
        <v>190</v>
      </c>
      <c r="V12" s="0" t="s">
        <v>191</v>
      </c>
      <c r="W12" s="0" t="s">
        <v>246</v>
      </c>
      <c r="X12" s="0" t="s">
        <v>247</v>
      </c>
      <c r="Y12" s="0" t="n">
        <v>12.6</v>
      </c>
      <c r="Z12" s="0" t="s">
        <v>185</v>
      </c>
      <c r="AA12" s="0" t="n">
        <v>1</v>
      </c>
      <c r="AB12" s="0" t="s">
        <v>187</v>
      </c>
      <c r="AC12" s="0" t="n">
        <v>72504000</v>
      </c>
      <c r="AD12" s="0" t="n">
        <v>72504000</v>
      </c>
      <c r="AE12" s="0" t="n">
        <v>72504000</v>
      </c>
      <c r="AF12" s="0" t="n">
        <v>0.9592</v>
      </c>
      <c r="AG12" s="0" t="n">
        <v>69543000</v>
      </c>
      <c r="AH12" s="0" t="n">
        <v>69543000</v>
      </c>
      <c r="AI12" s="0" t="n">
        <v>2961000</v>
      </c>
      <c r="AJ12" s="0" t="n">
        <v>72504000</v>
      </c>
      <c r="AK12" s="0" t="n">
        <v>69543000</v>
      </c>
      <c r="AL12" s="0" t="n">
        <v>69543000</v>
      </c>
      <c r="AN12" s="0" t="n">
        <v>3.671</v>
      </c>
      <c r="AO12" s="0" t="n">
        <v>5.067</v>
      </c>
      <c r="AP12" s="0" t="n">
        <v>3.783</v>
      </c>
      <c r="AQ12" s="0" t="n">
        <v>100</v>
      </c>
      <c r="AR12" s="0" t="n">
        <v>100</v>
      </c>
      <c r="AS12" s="1" t="n">
        <v>43414</v>
      </c>
      <c r="AT12" s="1" t="n">
        <v>51631</v>
      </c>
      <c r="AU12" s="1" t="n">
        <v>46295</v>
      </c>
      <c r="AV12" s="0" t="s">
        <v>248</v>
      </c>
      <c r="AW12" s="0" t="s">
        <v>249</v>
      </c>
      <c r="AX12" s="0" t="s">
        <v>187</v>
      </c>
      <c r="AY12" s="0" t="s">
        <v>250</v>
      </c>
      <c r="AZ12" s="0" t="s">
        <v>251</v>
      </c>
      <c r="BA12" s="0" t="s">
        <v>191</v>
      </c>
      <c r="BB12" s="0" t="s">
        <v>249</v>
      </c>
      <c r="BC12" s="0" t="s">
        <v>252</v>
      </c>
      <c r="BI12" s="0" t="n">
        <v>72504000</v>
      </c>
      <c r="BJ12" s="0" t="n">
        <v>72504000</v>
      </c>
      <c r="BK12" s="0" t="s">
        <v>253</v>
      </c>
      <c r="BL12" s="0" t="s">
        <v>201</v>
      </c>
      <c r="BN12" s="0" t="n">
        <v>13.5</v>
      </c>
      <c r="BO12" s="0" t="n">
        <v>14.86</v>
      </c>
      <c r="BP12" s="0" t="s">
        <v>187</v>
      </c>
      <c r="BQ12" s="0" t="s">
        <v>187</v>
      </c>
      <c r="BR12" s="0" t="s">
        <v>203</v>
      </c>
      <c r="BS12" s="0" t="s">
        <v>254</v>
      </c>
      <c r="BT12" s="0" t="s">
        <v>255</v>
      </c>
      <c r="BU12" s="0" t="s">
        <v>224</v>
      </c>
      <c r="BW12" s="0" t="s">
        <v>206</v>
      </c>
      <c r="BX12" s="0" t="s">
        <v>217</v>
      </c>
      <c r="BY12" s="0" t="n">
        <v>255</v>
      </c>
      <c r="BZ12" s="0" t="n">
        <v>255</v>
      </c>
      <c r="CC12" s="0" t="s">
        <v>256</v>
      </c>
      <c r="CD12" s="0" t="s">
        <v>256</v>
      </c>
      <c r="CE12" s="0" t="s">
        <v>211</v>
      </c>
      <c r="CF12" s="0" t="s">
        <v>211</v>
      </c>
      <c r="CG12" s="0" t="s">
        <v>211</v>
      </c>
      <c r="CH12" s="1" t="n">
        <v>46112</v>
      </c>
      <c r="CI12" s="0" t="n">
        <v>1.2</v>
      </c>
      <c r="CJ12" s="0" t="n">
        <v>1.54</v>
      </c>
      <c r="CK12" s="0" t="n">
        <v>1.62</v>
      </c>
      <c r="CL12" s="0" t="s">
        <v>212</v>
      </c>
      <c r="DA12" s="0" t="n">
        <v>0.8</v>
      </c>
      <c r="DC12" s="0" t="n">
        <v>0.85</v>
      </c>
      <c r="DD12" s="0" t="s">
        <v>213</v>
      </c>
      <c r="ED12" s="0" t="s">
        <v>212</v>
      </c>
      <c r="EE12" s="0" t="n">
        <v>1.05</v>
      </c>
      <c r="EI12" s="0" t="n">
        <v>1.6</v>
      </c>
      <c r="FQ12" s="0" t="n">
        <v>58262138</v>
      </c>
    </row>
    <row r="13" customFormat="false" ht="15" hidden="false" customHeight="false" outlineLevel="0" collapsed="false">
      <c r="B13" s="0" t="str">
        <f aca="false">C13&amp;"x"&amp;I13</f>
        <v>61014x100202</v>
      </c>
      <c r="C13" s="0" t="n">
        <f aca="false">IF(G13="SINGLE",H13,G13)</f>
        <v>61014</v>
      </c>
      <c r="D13" s="0" t="e">
        <f aca="false">_xlfn.XLOOKUP(I13,calculations!$t:$t,calculations!$s:$s)</f>
        <v>#VALUE!</v>
      </c>
      <c r="E13" s="0" t="str">
        <f aca="false">_xlfn.XLOOKUP(I13,Mapping!$T:$T,Mapping!$Q:$Q)</f>
        <v>CASC03</v>
      </c>
      <c r="F13" s="1" t="n">
        <v>46203</v>
      </c>
      <c r="G13" s="0" t="n">
        <v>61014</v>
      </c>
      <c r="H13" s="0" t="n">
        <v>61014</v>
      </c>
      <c r="I13" s="0" t="n">
        <v>100202</v>
      </c>
      <c r="J13" s="0" t="s">
        <v>242</v>
      </c>
      <c r="K13" s="0" t="s">
        <v>241</v>
      </c>
      <c r="L13" s="0" t="s">
        <v>241</v>
      </c>
      <c r="M13" s="0" t="s">
        <v>184</v>
      </c>
      <c r="N13" s="0" t="n">
        <v>84027000</v>
      </c>
      <c r="O13" s="0" t="n">
        <v>84027000</v>
      </c>
      <c r="P13" s="0" t="s">
        <v>185</v>
      </c>
      <c r="Q13" s="0" t="s">
        <v>227</v>
      </c>
      <c r="R13" s="0" t="s">
        <v>187</v>
      </c>
      <c r="S13" s="0" t="s">
        <v>245</v>
      </c>
      <c r="T13" s="0" t="s">
        <v>189</v>
      </c>
      <c r="U13" s="0" t="s">
        <v>190</v>
      </c>
      <c r="V13" s="0" t="s">
        <v>191</v>
      </c>
      <c r="W13" s="0" t="s">
        <v>246</v>
      </c>
      <c r="X13" s="0" t="s">
        <v>247</v>
      </c>
      <c r="Y13" s="0" t="n">
        <v>12.6</v>
      </c>
      <c r="Z13" s="0" t="s">
        <v>185</v>
      </c>
      <c r="AA13" s="0" t="n">
        <v>1</v>
      </c>
      <c r="AB13" s="0" t="s">
        <v>187</v>
      </c>
      <c r="AC13" s="0" t="n">
        <v>87604000</v>
      </c>
      <c r="AD13" s="0" t="n">
        <v>87604000</v>
      </c>
      <c r="AE13" s="0" t="n">
        <v>87604000</v>
      </c>
      <c r="AF13" s="0" t="n">
        <v>0.9592</v>
      </c>
      <c r="AG13" s="0" t="n">
        <v>84027000</v>
      </c>
      <c r="AH13" s="0" t="n">
        <v>84027000</v>
      </c>
      <c r="AI13" s="0" t="n">
        <v>3577000</v>
      </c>
      <c r="AJ13" s="0" t="n">
        <v>87604000</v>
      </c>
      <c r="AK13" s="0" t="n">
        <v>84027000</v>
      </c>
      <c r="AL13" s="0" t="n">
        <v>84027000</v>
      </c>
      <c r="AN13" s="0" t="n">
        <v>6.402</v>
      </c>
      <c r="AO13" s="0" t="n">
        <v>6.252</v>
      </c>
      <c r="AP13" s="0" t="n">
        <v>5.575</v>
      </c>
      <c r="AQ13" s="0" t="n">
        <v>100</v>
      </c>
      <c r="AR13" s="0" t="n">
        <v>100</v>
      </c>
      <c r="AS13" s="1" t="n">
        <v>43414</v>
      </c>
      <c r="AT13" s="1" t="n">
        <v>51631</v>
      </c>
      <c r="AU13" s="1" t="n">
        <v>46295</v>
      </c>
      <c r="AV13" s="0" t="s">
        <v>248</v>
      </c>
      <c r="AW13" s="0" t="s">
        <v>249</v>
      </c>
      <c r="AX13" s="0" t="s">
        <v>187</v>
      </c>
      <c r="AY13" s="0" t="s">
        <v>250</v>
      </c>
      <c r="AZ13" s="0" t="s">
        <v>251</v>
      </c>
      <c r="BA13" s="0" t="s">
        <v>191</v>
      </c>
      <c r="BB13" s="0" t="s">
        <v>249</v>
      </c>
      <c r="BC13" s="0" t="s">
        <v>252</v>
      </c>
      <c r="BI13" s="0" t="n">
        <v>87604000</v>
      </c>
      <c r="BJ13" s="0" t="n">
        <v>87604000</v>
      </c>
      <c r="BK13" s="0" t="s">
        <v>253</v>
      </c>
      <c r="BL13" s="0" t="s">
        <v>201</v>
      </c>
      <c r="BN13" s="0" t="n">
        <v>13.5</v>
      </c>
      <c r="BO13" s="0" t="n">
        <v>14.86</v>
      </c>
      <c r="BP13" s="0" t="s">
        <v>187</v>
      </c>
      <c r="BQ13" s="0" t="s">
        <v>187</v>
      </c>
      <c r="BR13" s="0" t="s">
        <v>203</v>
      </c>
      <c r="BS13" s="0" t="s">
        <v>254</v>
      </c>
      <c r="BT13" s="0" t="s">
        <v>255</v>
      </c>
      <c r="BU13" s="0" t="s">
        <v>224</v>
      </c>
      <c r="BW13" s="0" t="s">
        <v>206</v>
      </c>
      <c r="BX13" s="0" t="s">
        <v>207</v>
      </c>
      <c r="BY13" s="0" t="n">
        <v>255</v>
      </c>
      <c r="BZ13" s="0" t="n">
        <v>255</v>
      </c>
      <c r="CC13" s="0" t="s">
        <v>256</v>
      </c>
      <c r="CD13" s="0" t="s">
        <v>256</v>
      </c>
      <c r="CE13" s="0" t="s">
        <v>211</v>
      </c>
      <c r="CF13" s="0" t="s">
        <v>211</v>
      </c>
      <c r="CG13" s="0" t="s">
        <v>211</v>
      </c>
      <c r="CH13" s="1" t="n">
        <v>46112</v>
      </c>
      <c r="CI13" s="0" t="n">
        <v>1.2</v>
      </c>
      <c r="CJ13" s="0" t="n">
        <v>2.14</v>
      </c>
      <c r="CK13" s="0" t="n">
        <v>2.25</v>
      </c>
      <c r="CL13" s="0" t="s">
        <v>212</v>
      </c>
      <c r="DA13" s="0" t="n">
        <v>0.69</v>
      </c>
      <c r="DC13" s="0" t="n">
        <v>0.85</v>
      </c>
      <c r="DD13" s="0" t="s">
        <v>212</v>
      </c>
      <c r="ED13" s="0" t="s">
        <v>212</v>
      </c>
      <c r="EE13" s="0" t="n">
        <v>1.05</v>
      </c>
      <c r="EI13" s="0" t="n">
        <v>1.94</v>
      </c>
      <c r="FQ13" s="0" t="n">
        <v>56598815</v>
      </c>
    </row>
    <row r="14" customFormat="false" ht="15" hidden="false" customHeight="false" outlineLevel="0" collapsed="false">
      <c r="B14" s="0" t="str">
        <f aca="false">C14&amp;"x"&amp;I14</f>
        <v>61019x100202</v>
      </c>
      <c r="C14" s="0" t="n">
        <f aca="false">IF(G14="SINGLE",H14,G14)</f>
        <v>61019</v>
      </c>
      <c r="D14" s="0" t="e">
        <f aca="false">_xlfn.XLOOKUP(I14,calculations!$t:$t,calculations!$s:$s)</f>
        <v>#VALUE!</v>
      </c>
      <c r="E14" s="0" t="str">
        <f aca="false">_xlfn.XLOOKUP(I14,Mapping!$T:$T,Mapping!$Q:$Q)</f>
        <v>CASC03</v>
      </c>
      <c r="F14" s="1" t="n">
        <v>46203</v>
      </c>
      <c r="G14" s="0" t="n">
        <v>61019</v>
      </c>
      <c r="H14" s="0" t="n">
        <v>61019</v>
      </c>
      <c r="I14" s="0" t="n">
        <v>100202</v>
      </c>
      <c r="J14" s="0" t="s">
        <v>242</v>
      </c>
      <c r="K14" s="0" t="s">
        <v>223</v>
      </c>
      <c r="L14" s="0" t="s">
        <v>223</v>
      </c>
      <c r="M14" s="0" t="s">
        <v>184</v>
      </c>
      <c r="N14" s="0" t="n">
        <v>64963000</v>
      </c>
      <c r="O14" s="0" t="n">
        <v>64963000</v>
      </c>
      <c r="P14" s="0" t="s">
        <v>185</v>
      </c>
      <c r="Q14" s="0" t="s">
        <v>227</v>
      </c>
      <c r="R14" s="0" t="s">
        <v>187</v>
      </c>
      <c r="S14" s="0" t="s">
        <v>245</v>
      </c>
      <c r="T14" s="0" t="s">
        <v>189</v>
      </c>
      <c r="U14" s="0" t="s">
        <v>190</v>
      </c>
      <c r="V14" s="0" t="s">
        <v>191</v>
      </c>
      <c r="W14" s="0" t="s">
        <v>246</v>
      </c>
      <c r="X14" s="0" t="s">
        <v>247</v>
      </c>
      <c r="Y14" s="0" t="n">
        <v>12.6</v>
      </c>
      <c r="Z14" s="0" t="s">
        <v>185</v>
      </c>
      <c r="AA14" s="0" t="n">
        <v>1</v>
      </c>
      <c r="AB14" s="0" t="s">
        <v>187</v>
      </c>
      <c r="AC14" s="0" t="n">
        <v>67729000</v>
      </c>
      <c r="AD14" s="0" t="n">
        <v>67729000</v>
      </c>
      <c r="AE14" s="0" t="n">
        <v>67729000</v>
      </c>
      <c r="AF14" s="0" t="n">
        <v>0.9592</v>
      </c>
      <c r="AG14" s="0" t="n">
        <v>64963000</v>
      </c>
      <c r="AH14" s="0" t="n">
        <v>64963000</v>
      </c>
      <c r="AI14" s="0" t="n">
        <v>2766000</v>
      </c>
      <c r="AJ14" s="0" t="n">
        <v>67729000</v>
      </c>
      <c r="AK14" s="0" t="n">
        <v>64963000</v>
      </c>
      <c r="AL14" s="0" t="n">
        <v>64963000</v>
      </c>
      <c r="AN14" s="0" t="n">
        <v>3.926</v>
      </c>
      <c r="AO14" s="0" t="n">
        <v>2.913</v>
      </c>
      <c r="AP14" s="0" t="n">
        <v>5.202</v>
      </c>
      <c r="AQ14" s="0" t="n">
        <v>100</v>
      </c>
      <c r="AR14" s="0" t="n">
        <v>100</v>
      </c>
      <c r="AS14" s="1" t="n">
        <v>43414</v>
      </c>
      <c r="AT14" s="1" t="n">
        <v>51631</v>
      </c>
      <c r="AU14" s="1" t="n">
        <v>46295</v>
      </c>
      <c r="AV14" s="0" t="s">
        <v>248</v>
      </c>
      <c r="AW14" s="0" t="s">
        <v>249</v>
      </c>
      <c r="AX14" s="0" t="s">
        <v>187</v>
      </c>
      <c r="AY14" s="0" t="s">
        <v>250</v>
      </c>
      <c r="AZ14" s="0" t="s">
        <v>251</v>
      </c>
      <c r="BA14" s="0" t="s">
        <v>191</v>
      </c>
      <c r="BB14" s="0" t="s">
        <v>249</v>
      </c>
      <c r="BC14" s="0" t="s">
        <v>252</v>
      </c>
      <c r="BI14" s="0" t="n">
        <v>67729000</v>
      </c>
      <c r="BJ14" s="0" t="n">
        <v>67729000</v>
      </c>
      <c r="BK14" s="0" t="s">
        <v>253</v>
      </c>
      <c r="BL14" s="0" t="s">
        <v>201</v>
      </c>
      <c r="BN14" s="0" t="n">
        <v>13.5</v>
      </c>
      <c r="BO14" s="0" t="n">
        <v>14.86</v>
      </c>
      <c r="BP14" s="0" t="s">
        <v>187</v>
      </c>
      <c r="BQ14" s="0" t="s">
        <v>187</v>
      </c>
      <c r="BR14" s="0" t="s">
        <v>203</v>
      </c>
      <c r="BS14" s="0" t="s">
        <v>254</v>
      </c>
      <c r="BT14" s="0" t="s">
        <v>255</v>
      </c>
      <c r="BU14" s="0" t="s">
        <v>255</v>
      </c>
      <c r="BW14" s="0" t="s">
        <v>257</v>
      </c>
      <c r="BX14" s="0" t="s">
        <v>207</v>
      </c>
      <c r="BY14" s="0" t="n">
        <v>255</v>
      </c>
      <c r="BZ14" s="0" t="n">
        <v>255</v>
      </c>
      <c r="CC14" s="0" t="s">
        <v>256</v>
      </c>
      <c r="CD14" s="0" t="s">
        <v>256</v>
      </c>
      <c r="CE14" s="0" t="s">
        <v>211</v>
      </c>
      <c r="CF14" s="0" t="s">
        <v>211</v>
      </c>
      <c r="CG14" s="0" t="s">
        <v>211</v>
      </c>
      <c r="CH14" s="1" t="n">
        <v>46112</v>
      </c>
      <c r="CI14" s="0" t="n">
        <v>1.2</v>
      </c>
      <c r="CJ14" s="0" t="n">
        <v>1.62</v>
      </c>
      <c r="CK14" s="0" t="n">
        <v>1.7</v>
      </c>
      <c r="CL14" s="0" t="s">
        <v>212</v>
      </c>
      <c r="DA14" s="0" t="n">
        <v>0.56</v>
      </c>
      <c r="DC14" s="0" t="n">
        <v>0.85</v>
      </c>
      <c r="DD14" s="0" t="s">
        <v>212</v>
      </c>
      <c r="ED14" s="0" t="s">
        <v>212</v>
      </c>
      <c r="EE14" s="0" t="n">
        <v>1.05</v>
      </c>
      <c r="EI14" s="0" t="n">
        <v>1.23</v>
      </c>
      <c r="FQ14" s="0" t="n">
        <v>60658550</v>
      </c>
    </row>
    <row r="15" customFormat="false" ht="15" hidden="false" customHeight="false" outlineLevel="0" collapsed="false">
      <c r="B15" s="0" t="str">
        <f aca="false">C15&amp;"x"&amp;I15</f>
        <v>61018x100202</v>
      </c>
      <c r="C15" s="0" t="n">
        <f aca="false">IF(G15="SINGLE",H15,G15)</f>
        <v>61018</v>
      </c>
      <c r="D15" s="0" t="e">
        <f aca="false">_xlfn.XLOOKUP(I15,calculations!$t:$t,calculations!$s:$s)</f>
        <v>#VALUE!</v>
      </c>
      <c r="E15" s="0" t="str">
        <f aca="false">_xlfn.XLOOKUP(I15,Mapping!$T:$T,Mapping!$Q:$Q)</f>
        <v>CASC03</v>
      </c>
      <c r="F15" s="1" t="n">
        <v>46203</v>
      </c>
      <c r="G15" s="0" t="n">
        <v>61018</v>
      </c>
      <c r="H15" s="0" t="n">
        <v>61018</v>
      </c>
      <c r="I15" s="0" t="n">
        <v>100202</v>
      </c>
      <c r="J15" s="0" t="s">
        <v>242</v>
      </c>
      <c r="K15" s="0" t="s">
        <v>258</v>
      </c>
      <c r="L15" s="0" t="s">
        <v>258</v>
      </c>
      <c r="M15" s="0" t="s">
        <v>184</v>
      </c>
      <c r="N15" s="0" t="n">
        <v>25434000</v>
      </c>
      <c r="O15" s="0" t="n">
        <v>25434000</v>
      </c>
      <c r="P15" s="0" t="s">
        <v>185</v>
      </c>
      <c r="Q15" s="0" t="s">
        <v>227</v>
      </c>
      <c r="R15" s="0" t="s">
        <v>187</v>
      </c>
      <c r="S15" s="0" t="s">
        <v>245</v>
      </c>
      <c r="T15" s="0" t="s">
        <v>189</v>
      </c>
      <c r="U15" s="0" t="s">
        <v>190</v>
      </c>
      <c r="V15" s="0" t="s">
        <v>191</v>
      </c>
      <c r="W15" s="0" t="s">
        <v>246</v>
      </c>
      <c r="X15" s="0" t="s">
        <v>247</v>
      </c>
      <c r="Y15" s="0" t="n">
        <v>12.6</v>
      </c>
      <c r="Z15" s="0" t="s">
        <v>185</v>
      </c>
      <c r="AA15" s="0" t="n">
        <v>1</v>
      </c>
      <c r="AB15" s="0" t="s">
        <v>187</v>
      </c>
      <c r="AC15" s="0" t="n">
        <v>26517000</v>
      </c>
      <c r="AD15" s="0" t="n">
        <v>26517000</v>
      </c>
      <c r="AE15" s="0" t="n">
        <v>26517000</v>
      </c>
      <c r="AF15" s="0" t="n">
        <v>0.9592</v>
      </c>
      <c r="AG15" s="0" t="n">
        <v>25434000</v>
      </c>
      <c r="AH15" s="0" t="n">
        <v>25434000</v>
      </c>
      <c r="AI15" s="0" t="n">
        <v>1083000</v>
      </c>
      <c r="AJ15" s="0" t="n">
        <v>26517000</v>
      </c>
      <c r="AK15" s="0" t="n">
        <v>25434000</v>
      </c>
      <c r="AL15" s="0" t="n">
        <v>25434000</v>
      </c>
      <c r="AN15" s="0" t="n">
        <v>5.354</v>
      </c>
      <c r="AO15" s="0" t="n">
        <v>5.699</v>
      </c>
      <c r="AP15" s="0" t="n">
        <v>5.276</v>
      </c>
      <c r="AQ15" s="0" t="n">
        <v>100</v>
      </c>
      <c r="AR15" s="0" t="n">
        <v>100</v>
      </c>
      <c r="AS15" s="1" t="n">
        <v>43414</v>
      </c>
      <c r="AT15" s="1" t="n">
        <v>51631</v>
      </c>
      <c r="AU15" s="1" t="n">
        <v>46295</v>
      </c>
      <c r="AV15" s="0" t="s">
        <v>248</v>
      </c>
      <c r="AW15" s="0" t="s">
        <v>249</v>
      </c>
      <c r="AX15" s="0" t="s">
        <v>187</v>
      </c>
      <c r="AY15" s="0" t="s">
        <v>250</v>
      </c>
      <c r="AZ15" s="0" t="s">
        <v>251</v>
      </c>
      <c r="BA15" s="0" t="s">
        <v>191</v>
      </c>
      <c r="BB15" s="0" t="s">
        <v>249</v>
      </c>
      <c r="BC15" s="0" t="s">
        <v>252</v>
      </c>
      <c r="BI15" s="0" t="n">
        <v>26517000</v>
      </c>
      <c r="BJ15" s="0" t="n">
        <v>26517000</v>
      </c>
      <c r="BK15" s="0" t="s">
        <v>253</v>
      </c>
      <c r="BL15" s="0" t="s">
        <v>201</v>
      </c>
      <c r="BN15" s="0" t="n">
        <v>13.5</v>
      </c>
      <c r="BO15" s="0" t="n">
        <v>14.86</v>
      </c>
      <c r="BP15" s="0" t="s">
        <v>187</v>
      </c>
      <c r="BQ15" s="0" t="s">
        <v>187</v>
      </c>
      <c r="BR15" s="0" t="s">
        <v>203</v>
      </c>
      <c r="BS15" s="0" t="s">
        <v>254</v>
      </c>
      <c r="BT15" s="0" t="s">
        <v>255</v>
      </c>
      <c r="BU15" s="0" t="s">
        <v>255</v>
      </c>
      <c r="BW15" s="0" t="s">
        <v>257</v>
      </c>
      <c r="BX15" s="0" t="s">
        <v>207</v>
      </c>
      <c r="BY15" s="0" t="n">
        <v>255</v>
      </c>
      <c r="BZ15" s="0" t="n">
        <v>255</v>
      </c>
      <c r="CC15" s="0" t="s">
        <v>256</v>
      </c>
      <c r="CD15" s="0" t="s">
        <v>256</v>
      </c>
      <c r="CE15" s="0" t="s">
        <v>211</v>
      </c>
      <c r="CF15" s="0" t="s">
        <v>211</v>
      </c>
      <c r="CG15" s="0" t="s">
        <v>211</v>
      </c>
      <c r="CH15" s="1" t="n">
        <v>46112</v>
      </c>
      <c r="CI15" s="0" t="n">
        <v>1.2</v>
      </c>
      <c r="CJ15" s="0" t="n">
        <v>2.87</v>
      </c>
      <c r="CK15" s="0" t="n">
        <v>3.01</v>
      </c>
      <c r="CL15" s="0" t="s">
        <v>212</v>
      </c>
      <c r="DA15" s="0" t="n">
        <v>0.71</v>
      </c>
      <c r="DC15" s="0" t="n">
        <v>0.85</v>
      </c>
      <c r="DD15" s="0" t="s">
        <v>212</v>
      </c>
      <c r="ED15" s="0" t="s">
        <v>213</v>
      </c>
      <c r="EE15" s="0" t="n">
        <v>1.05</v>
      </c>
      <c r="EI15" s="0" t="n">
        <v>1.18</v>
      </c>
      <c r="FQ15" s="0" t="n">
        <v>59484021</v>
      </c>
    </row>
    <row r="16" customFormat="false" ht="15" hidden="false" customHeight="false" outlineLevel="0" collapsed="false">
      <c r="B16" s="0" t="str">
        <f aca="false">C16&amp;"x"&amp;I16</f>
        <v>61013x100203</v>
      </c>
      <c r="C16" s="0" t="n">
        <f aca="false">IF(G16="SINGLE",H16,G16)</f>
        <v>61013</v>
      </c>
      <c r="D16" s="0" t="e">
        <f aca="false">_xlfn.XLOOKUP(I16,calculations!$t:$t,calculations!$s:$s)</f>
        <v>#VALUE!</v>
      </c>
      <c r="E16" s="0" t="str">
        <f aca="false">_xlfn.XLOOKUP(I16,Mapping!$T:$T,Mapping!$Q:$Q)</f>
        <v>DELT04</v>
      </c>
      <c r="F16" s="1" t="n">
        <v>46203</v>
      </c>
      <c r="G16" s="0" t="n">
        <v>61013</v>
      </c>
      <c r="H16" s="0" t="n">
        <v>61013</v>
      </c>
      <c r="I16" s="0" t="n">
        <v>100203</v>
      </c>
      <c r="J16" s="0" t="s">
        <v>259</v>
      </c>
      <c r="K16" s="0" t="s">
        <v>260</v>
      </c>
      <c r="L16" s="0" t="s">
        <v>260</v>
      </c>
      <c r="M16" s="0" t="s">
        <v>184</v>
      </c>
      <c r="N16" s="0" t="n">
        <v>447000</v>
      </c>
      <c r="O16" s="0" t="n">
        <v>522807.02</v>
      </c>
      <c r="P16" s="0" t="s">
        <v>185</v>
      </c>
      <c r="Q16" s="0" t="s">
        <v>186</v>
      </c>
      <c r="R16" s="0" t="s">
        <v>187</v>
      </c>
      <c r="S16" s="0" t="s">
        <v>261</v>
      </c>
      <c r="T16" s="0" t="s">
        <v>189</v>
      </c>
      <c r="U16" s="0" t="s">
        <v>229</v>
      </c>
      <c r="V16" s="0" t="s">
        <v>230</v>
      </c>
      <c r="W16" s="0" t="s">
        <v>262</v>
      </c>
      <c r="X16" s="0" t="s">
        <v>263</v>
      </c>
      <c r="Y16" s="0" t="n">
        <v>14.2</v>
      </c>
      <c r="Z16" s="0" t="s">
        <v>219</v>
      </c>
      <c r="AA16" s="0" t="n">
        <v>0.855</v>
      </c>
      <c r="AB16" s="0" t="s">
        <v>202</v>
      </c>
      <c r="AC16" s="0" t="n">
        <v>858000</v>
      </c>
      <c r="AD16" s="0" t="n">
        <v>858000</v>
      </c>
      <c r="AE16" s="0" t="n">
        <v>1003508.77</v>
      </c>
      <c r="AF16" s="0" t="n">
        <v>0.521</v>
      </c>
      <c r="AG16" s="0" t="n">
        <v>447000</v>
      </c>
      <c r="AH16" s="0" t="n">
        <v>447000</v>
      </c>
      <c r="AI16" s="0" t="n">
        <v>411000</v>
      </c>
      <c r="AJ16" s="0" t="n">
        <v>858000</v>
      </c>
      <c r="AK16" s="0" t="n">
        <v>447000</v>
      </c>
      <c r="AL16" s="0" t="n">
        <v>447000</v>
      </c>
      <c r="AN16" s="0" t="n">
        <v>5.084</v>
      </c>
      <c r="AO16" s="0" t="n">
        <v>5.506</v>
      </c>
      <c r="AP16" s="0" t="n">
        <v>4.799</v>
      </c>
      <c r="AQ16" s="0" t="n">
        <v>100</v>
      </c>
      <c r="AR16" s="0" t="n">
        <v>100</v>
      </c>
      <c r="AS16" s="1" t="n">
        <v>44791</v>
      </c>
      <c r="AT16" s="1" t="n">
        <v>54288</v>
      </c>
      <c r="AU16" s="1" t="n">
        <v>46295</v>
      </c>
      <c r="AV16" s="0" t="s">
        <v>264</v>
      </c>
      <c r="AW16" s="0" t="s">
        <v>196</v>
      </c>
      <c r="AX16" s="0" t="s">
        <v>187</v>
      </c>
      <c r="AY16" s="0" t="s">
        <v>265</v>
      </c>
      <c r="AZ16" s="0" t="s">
        <v>266</v>
      </c>
      <c r="BA16" s="0" t="s">
        <v>230</v>
      </c>
      <c r="BB16" s="0" t="s">
        <v>196</v>
      </c>
      <c r="BC16" s="0" t="s">
        <v>267</v>
      </c>
      <c r="BI16" s="0" t="n">
        <v>858000</v>
      </c>
      <c r="BJ16" s="0" t="n">
        <v>1003508.77</v>
      </c>
      <c r="BK16" s="0" t="s">
        <v>253</v>
      </c>
      <c r="BL16" s="0" t="s">
        <v>201</v>
      </c>
      <c r="BN16" s="0" t="n">
        <v>15.6</v>
      </c>
      <c r="BO16" s="0" t="n">
        <v>22.14</v>
      </c>
      <c r="BP16" s="0" t="s">
        <v>187</v>
      </c>
      <c r="BQ16" s="0" t="s">
        <v>187</v>
      </c>
      <c r="BR16" s="0" t="s">
        <v>203</v>
      </c>
      <c r="BS16" s="0" t="s">
        <v>268</v>
      </c>
      <c r="BT16" s="0" t="s">
        <v>269</v>
      </c>
      <c r="BU16" s="0" t="s">
        <v>216</v>
      </c>
      <c r="BW16" s="0" t="s">
        <v>206</v>
      </c>
      <c r="BX16" s="0" t="s">
        <v>217</v>
      </c>
      <c r="BY16" s="0" t="n">
        <v>325</v>
      </c>
      <c r="BZ16" s="0" t="n">
        <v>325</v>
      </c>
      <c r="CC16" s="0" t="s">
        <v>210</v>
      </c>
      <c r="CD16" s="0" t="s">
        <v>210</v>
      </c>
      <c r="CE16" s="0" t="s">
        <v>211</v>
      </c>
      <c r="CF16" s="0" t="s">
        <v>211</v>
      </c>
      <c r="CG16" s="0" t="s">
        <v>211</v>
      </c>
      <c r="CH16" s="1" t="n">
        <v>46112</v>
      </c>
      <c r="CI16" s="0" t="n">
        <v>1.2</v>
      </c>
      <c r="CJ16" s="0" t="n">
        <v>2.09</v>
      </c>
      <c r="CK16" s="0" t="n">
        <v>2.19</v>
      </c>
      <c r="CL16" s="0" t="s">
        <v>212</v>
      </c>
      <c r="DA16" s="0" t="n">
        <v>0.49</v>
      </c>
      <c r="DC16" s="0" t="n">
        <v>0.85</v>
      </c>
      <c r="DD16" s="0" t="s">
        <v>212</v>
      </c>
      <c r="ED16" s="0" t="s">
        <v>212</v>
      </c>
      <c r="EE16" s="0" t="n">
        <v>1.05</v>
      </c>
      <c r="EI16" s="0" t="n">
        <v>1.63</v>
      </c>
      <c r="FQ16" s="0" t="n">
        <v>9462110</v>
      </c>
    </row>
    <row r="17" customFormat="false" ht="15" hidden="false" customHeight="false" outlineLevel="0" collapsed="false">
      <c r="B17" s="0" t="str">
        <f aca="false">C17&amp;"x"&amp;I17</f>
        <v>61013x100204</v>
      </c>
      <c r="C17" s="0" t="n">
        <f aca="false">IF(G17="SINGLE",H17,G17)</f>
        <v>61013</v>
      </c>
      <c r="D17" s="0" t="e">
        <f aca="false">_xlfn.XLOOKUP(I17,calculations!$t:$t,calculations!$s:$s)</f>
        <v>#VALUE!</v>
      </c>
      <c r="E17" s="0" t="str">
        <f aca="false">_xlfn.XLOOKUP(I17,Mapping!$T:$T,Mapping!$Q:$Q)</f>
        <v>DELT04</v>
      </c>
      <c r="F17" s="1" t="n">
        <v>46203</v>
      </c>
      <c r="G17" s="0" t="n">
        <v>61013</v>
      </c>
      <c r="H17" s="0" t="n">
        <v>61013</v>
      </c>
      <c r="I17" s="0" t="n">
        <v>100204</v>
      </c>
      <c r="J17" s="0" t="s">
        <v>270</v>
      </c>
      <c r="K17" s="0" t="s">
        <v>260</v>
      </c>
      <c r="L17" s="0" t="s">
        <v>260</v>
      </c>
      <c r="M17" s="0" t="s">
        <v>184</v>
      </c>
      <c r="N17" s="0" t="n">
        <v>298000</v>
      </c>
      <c r="O17" s="0" t="n">
        <v>348538.01</v>
      </c>
      <c r="P17" s="0" t="s">
        <v>185</v>
      </c>
      <c r="Q17" s="0" t="s">
        <v>186</v>
      </c>
      <c r="R17" s="0" t="s">
        <v>187</v>
      </c>
      <c r="S17" s="0" t="s">
        <v>271</v>
      </c>
      <c r="T17" s="0" t="s">
        <v>189</v>
      </c>
      <c r="U17" s="0" t="s">
        <v>229</v>
      </c>
      <c r="V17" s="0" t="s">
        <v>230</v>
      </c>
      <c r="W17" s="0" t="s">
        <v>262</v>
      </c>
      <c r="X17" s="0" t="s">
        <v>263</v>
      </c>
      <c r="Y17" s="0" t="n">
        <v>14.2</v>
      </c>
      <c r="Z17" s="0" t="s">
        <v>219</v>
      </c>
      <c r="AA17" s="0" t="n">
        <v>0.855</v>
      </c>
      <c r="AB17" s="0" t="s">
        <v>202</v>
      </c>
      <c r="AC17" s="0" t="n">
        <v>572000</v>
      </c>
      <c r="AD17" s="0" t="n">
        <v>572000</v>
      </c>
      <c r="AE17" s="0" t="n">
        <v>669005.85</v>
      </c>
      <c r="AF17" s="0" t="n">
        <v>0.521</v>
      </c>
      <c r="AG17" s="0" t="n">
        <v>298000</v>
      </c>
      <c r="AH17" s="0" t="n">
        <v>298000</v>
      </c>
      <c r="AI17" s="0" t="n">
        <v>274000</v>
      </c>
      <c r="AJ17" s="0" t="n">
        <v>572000</v>
      </c>
      <c r="AK17" s="0" t="n">
        <v>298000</v>
      </c>
      <c r="AL17" s="0" t="n">
        <v>298000</v>
      </c>
      <c r="AN17" s="0" t="n">
        <v>4.364</v>
      </c>
      <c r="AO17" s="0" t="n">
        <v>4.443</v>
      </c>
      <c r="AP17" s="0" t="n">
        <v>2.762</v>
      </c>
      <c r="AQ17" s="0" t="n">
        <v>100</v>
      </c>
      <c r="AR17" s="0" t="n">
        <v>100</v>
      </c>
      <c r="AS17" s="1" t="n">
        <v>44791</v>
      </c>
      <c r="AT17" s="1" t="n">
        <v>54288</v>
      </c>
      <c r="AU17" s="1" t="n">
        <v>46295</v>
      </c>
      <c r="AV17" s="0" t="s">
        <v>264</v>
      </c>
      <c r="AW17" s="0" t="s">
        <v>196</v>
      </c>
      <c r="AX17" s="0" t="s">
        <v>187</v>
      </c>
      <c r="AY17" s="0" t="s">
        <v>265</v>
      </c>
      <c r="AZ17" s="0" t="s">
        <v>266</v>
      </c>
      <c r="BA17" s="0" t="s">
        <v>230</v>
      </c>
      <c r="BB17" s="0" t="s">
        <v>196</v>
      </c>
      <c r="BC17" s="0" t="s">
        <v>267</v>
      </c>
      <c r="BI17" s="0" t="n">
        <v>572000</v>
      </c>
      <c r="BJ17" s="0" t="n">
        <v>669005.85</v>
      </c>
      <c r="BK17" s="0" t="s">
        <v>253</v>
      </c>
      <c r="BL17" s="0" t="s">
        <v>201</v>
      </c>
      <c r="BN17" s="0" t="n">
        <v>15.6</v>
      </c>
      <c r="BO17" s="0" t="n">
        <v>22.14</v>
      </c>
      <c r="BP17" s="0" t="s">
        <v>187</v>
      </c>
      <c r="BQ17" s="0" t="s">
        <v>187</v>
      </c>
      <c r="BR17" s="0" t="s">
        <v>203</v>
      </c>
      <c r="BS17" s="0" t="s">
        <v>272</v>
      </c>
      <c r="BT17" s="0" t="s">
        <v>269</v>
      </c>
      <c r="BU17" s="0" t="s">
        <v>255</v>
      </c>
      <c r="BW17" s="0" t="s">
        <v>206</v>
      </c>
      <c r="BX17" s="0" t="s">
        <v>217</v>
      </c>
      <c r="BY17" s="0" t="n">
        <v>325</v>
      </c>
      <c r="BZ17" s="0" t="n">
        <v>325</v>
      </c>
      <c r="CC17" s="0" t="s">
        <v>210</v>
      </c>
      <c r="CD17" s="0" t="s">
        <v>210</v>
      </c>
      <c r="CE17" s="0" t="s">
        <v>211</v>
      </c>
      <c r="CF17" s="0" t="s">
        <v>211</v>
      </c>
      <c r="CG17" s="0" t="s">
        <v>211</v>
      </c>
      <c r="CH17" s="1" t="n">
        <v>46112</v>
      </c>
      <c r="CI17" s="0" t="n">
        <v>1.2</v>
      </c>
      <c r="CJ17" s="0" t="n">
        <v>1.92</v>
      </c>
      <c r="CK17" s="0" t="n">
        <v>2.02</v>
      </c>
      <c r="CL17" s="0" t="s">
        <v>212</v>
      </c>
      <c r="DA17" s="0" t="n">
        <v>0.83</v>
      </c>
      <c r="DC17" s="0" t="n">
        <v>0.85</v>
      </c>
      <c r="DD17" s="0" t="s">
        <v>213</v>
      </c>
      <c r="ED17" s="0" t="s">
        <v>213</v>
      </c>
      <c r="EE17" s="0" t="n">
        <v>1.05</v>
      </c>
      <c r="EI17" s="0" t="n">
        <v>1.13</v>
      </c>
      <c r="FQ17" s="0" t="n">
        <v>11051966</v>
      </c>
    </row>
    <row r="18" customFormat="false" ht="15" hidden="false" customHeight="false" outlineLevel="0" collapsed="false">
      <c r="B18" s="0" t="str">
        <f aca="false">C18&amp;"x"&amp;I18</f>
        <v>61022x100203</v>
      </c>
      <c r="C18" s="0" t="n">
        <f aca="false">IF(G18="SINGLE",H18,G18)</f>
        <v>61022</v>
      </c>
      <c r="D18" s="0" t="e">
        <f aca="false">_xlfn.XLOOKUP(I18,calculations!$t:$t,calculations!$s:$s)</f>
        <v>#VALUE!</v>
      </c>
      <c r="E18" s="0" t="str">
        <f aca="false">_xlfn.XLOOKUP(I18,Mapping!$T:$T,Mapping!$Q:$Q)</f>
        <v>DELT04</v>
      </c>
      <c r="F18" s="1" t="n">
        <v>46203</v>
      </c>
      <c r="G18" s="0" t="n">
        <v>61022</v>
      </c>
      <c r="H18" s="0" t="n">
        <v>61022</v>
      </c>
      <c r="I18" s="0" t="n">
        <v>100203</v>
      </c>
      <c r="J18" s="0" t="s">
        <v>259</v>
      </c>
      <c r="K18" s="0" t="s">
        <v>273</v>
      </c>
      <c r="L18" s="0" t="s">
        <v>273</v>
      </c>
      <c r="M18" s="0" t="s">
        <v>184</v>
      </c>
      <c r="N18" s="0" t="n">
        <v>1213000</v>
      </c>
      <c r="O18" s="0" t="n">
        <v>1418713.45</v>
      </c>
      <c r="P18" s="0" t="s">
        <v>185</v>
      </c>
      <c r="Q18" s="0" t="s">
        <v>186</v>
      </c>
      <c r="R18" s="0" t="s">
        <v>187</v>
      </c>
      <c r="S18" s="0" t="s">
        <v>261</v>
      </c>
      <c r="T18" s="0" t="s">
        <v>189</v>
      </c>
      <c r="U18" s="0" t="s">
        <v>229</v>
      </c>
      <c r="V18" s="0" t="s">
        <v>230</v>
      </c>
      <c r="W18" s="0" t="s">
        <v>262</v>
      </c>
      <c r="X18" s="0" t="s">
        <v>263</v>
      </c>
      <c r="Y18" s="0" t="n">
        <v>14.2</v>
      </c>
      <c r="Z18" s="0" t="s">
        <v>219</v>
      </c>
      <c r="AA18" s="0" t="n">
        <v>0.855</v>
      </c>
      <c r="AB18" s="0" t="s">
        <v>202</v>
      </c>
      <c r="AC18" s="0" t="n">
        <v>2331000</v>
      </c>
      <c r="AD18" s="0" t="n">
        <v>2331000</v>
      </c>
      <c r="AE18" s="0" t="n">
        <v>2726315.79</v>
      </c>
      <c r="AF18" s="0" t="n">
        <v>0.5204</v>
      </c>
      <c r="AG18" s="0" t="n">
        <v>1213000</v>
      </c>
      <c r="AH18" s="0" t="n">
        <v>1213000</v>
      </c>
      <c r="AI18" s="0" t="n">
        <v>1118000</v>
      </c>
      <c r="AJ18" s="0" t="n">
        <v>2331000</v>
      </c>
      <c r="AK18" s="0" t="n">
        <v>1213000</v>
      </c>
      <c r="AL18" s="0" t="n">
        <v>1213000</v>
      </c>
      <c r="AN18" s="0" t="n">
        <v>3.159</v>
      </c>
      <c r="AO18" s="0" t="n">
        <v>5.725</v>
      </c>
      <c r="AP18" s="0" t="n">
        <v>2.703</v>
      </c>
      <c r="AQ18" s="0" t="n">
        <v>100</v>
      </c>
      <c r="AR18" s="0" t="n">
        <v>100</v>
      </c>
      <c r="AS18" s="1" t="n">
        <v>44791</v>
      </c>
      <c r="AT18" s="1" t="n">
        <v>54288</v>
      </c>
      <c r="AU18" s="1" t="n">
        <v>46295</v>
      </c>
      <c r="AV18" s="0" t="s">
        <v>264</v>
      </c>
      <c r="AW18" s="0" t="s">
        <v>196</v>
      </c>
      <c r="AX18" s="0" t="s">
        <v>187</v>
      </c>
      <c r="AY18" s="0" t="s">
        <v>265</v>
      </c>
      <c r="AZ18" s="0" t="s">
        <v>266</v>
      </c>
      <c r="BA18" s="0" t="s">
        <v>230</v>
      </c>
      <c r="BB18" s="0" t="s">
        <v>196</v>
      </c>
      <c r="BC18" s="0" t="s">
        <v>267</v>
      </c>
      <c r="BI18" s="0" t="n">
        <v>2331000</v>
      </c>
      <c r="BJ18" s="0" t="n">
        <v>2726315.79</v>
      </c>
      <c r="BK18" s="0" t="s">
        <v>253</v>
      </c>
      <c r="BL18" s="0" t="s">
        <v>201</v>
      </c>
      <c r="BN18" s="0" t="n">
        <v>15.6</v>
      </c>
      <c r="BO18" s="0" t="n">
        <v>22.14</v>
      </c>
      <c r="BP18" s="0" t="s">
        <v>187</v>
      </c>
      <c r="BQ18" s="0" t="s">
        <v>187</v>
      </c>
      <c r="BR18" s="0" t="s">
        <v>203</v>
      </c>
      <c r="BS18" s="0" t="s">
        <v>268</v>
      </c>
      <c r="BT18" s="0" t="s">
        <v>269</v>
      </c>
      <c r="BU18" s="0" t="s">
        <v>220</v>
      </c>
      <c r="BW18" s="0" t="s">
        <v>206</v>
      </c>
      <c r="BX18" s="0" t="s">
        <v>217</v>
      </c>
      <c r="BY18" s="0" t="n">
        <v>325</v>
      </c>
      <c r="BZ18" s="0" t="n">
        <v>325</v>
      </c>
      <c r="CC18" s="0" t="s">
        <v>210</v>
      </c>
      <c r="CD18" s="0" t="s">
        <v>210</v>
      </c>
      <c r="CE18" s="0" t="s">
        <v>211</v>
      </c>
      <c r="CF18" s="0" t="s">
        <v>211</v>
      </c>
      <c r="CG18" s="0" t="s">
        <v>211</v>
      </c>
      <c r="CH18" s="1" t="n">
        <v>46112</v>
      </c>
      <c r="CI18" s="0" t="n">
        <v>1.2</v>
      </c>
      <c r="CJ18" s="0" t="n">
        <v>2.54</v>
      </c>
      <c r="CK18" s="0" t="n">
        <v>2.67</v>
      </c>
      <c r="CL18" s="0" t="s">
        <v>212</v>
      </c>
      <c r="DA18" s="0" t="n">
        <v>0.73</v>
      </c>
      <c r="DC18" s="0" t="n">
        <v>0.85</v>
      </c>
      <c r="DD18" s="0" t="s">
        <v>212</v>
      </c>
      <c r="ED18" s="0" t="s">
        <v>212</v>
      </c>
      <c r="EE18" s="0" t="n">
        <v>1.05</v>
      </c>
      <c r="EI18" s="0" t="n">
        <v>1.94</v>
      </c>
      <c r="FQ18" s="0" t="n">
        <v>12516714</v>
      </c>
    </row>
    <row r="19" customFormat="false" ht="15" hidden="false" customHeight="false" outlineLevel="0" collapsed="false">
      <c r="B19" s="0" t="str">
        <f aca="false">C19&amp;"x"&amp;I19</f>
        <v>61022x100204</v>
      </c>
      <c r="C19" s="0" t="n">
        <f aca="false">IF(G19="SINGLE",H19,G19)</f>
        <v>61022</v>
      </c>
      <c r="D19" s="0" t="e">
        <f aca="false">_xlfn.XLOOKUP(I19,calculations!$t:$t,calculations!$s:$s)</f>
        <v>#VALUE!</v>
      </c>
      <c r="E19" s="0" t="str">
        <f aca="false">_xlfn.XLOOKUP(I19,Mapping!$T:$T,Mapping!$Q:$Q)</f>
        <v>DELT04</v>
      </c>
      <c r="F19" s="1" t="n">
        <v>46203</v>
      </c>
      <c r="G19" s="0" t="n">
        <v>61022</v>
      </c>
      <c r="H19" s="0" t="n">
        <v>61022</v>
      </c>
      <c r="I19" s="0" t="n">
        <v>100204</v>
      </c>
      <c r="J19" s="0" t="s">
        <v>270</v>
      </c>
      <c r="K19" s="0" t="s">
        <v>273</v>
      </c>
      <c r="L19" s="0" t="s">
        <v>273</v>
      </c>
      <c r="M19" s="0" t="s">
        <v>184</v>
      </c>
      <c r="N19" s="0" t="n">
        <v>809000</v>
      </c>
      <c r="O19" s="0" t="n">
        <v>946198.83</v>
      </c>
      <c r="P19" s="0" t="s">
        <v>185</v>
      </c>
      <c r="Q19" s="0" t="s">
        <v>186</v>
      </c>
      <c r="R19" s="0" t="s">
        <v>187</v>
      </c>
      <c r="S19" s="0" t="s">
        <v>271</v>
      </c>
      <c r="T19" s="0" t="s">
        <v>189</v>
      </c>
      <c r="U19" s="0" t="s">
        <v>229</v>
      </c>
      <c r="V19" s="0" t="s">
        <v>230</v>
      </c>
      <c r="W19" s="0" t="s">
        <v>262</v>
      </c>
      <c r="X19" s="0" t="s">
        <v>263</v>
      </c>
      <c r="Y19" s="0" t="n">
        <v>14.2</v>
      </c>
      <c r="Z19" s="0" t="s">
        <v>219</v>
      </c>
      <c r="AA19" s="0" t="n">
        <v>0.855</v>
      </c>
      <c r="AB19" s="0" t="s">
        <v>202</v>
      </c>
      <c r="AC19" s="0" t="n">
        <v>1554000</v>
      </c>
      <c r="AD19" s="0" t="n">
        <v>1554000</v>
      </c>
      <c r="AE19" s="0" t="n">
        <v>1817543.86</v>
      </c>
      <c r="AF19" s="0" t="n">
        <v>0.5206</v>
      </c>
      <c r="AG19" s="0" t="n">
        <v>809000</v>
      </c>
      <c r="AH19" s="0" t="n">
        <v>809000</v>
      </c>
      <c r="AI19" s="0" t="n">
        <v>745000</v>
      </c>
      <c r="AJ19" s="0" t="n">
        <v>1554000</v>
      </c>
      <c r="AK19" s="0" t="n">
        <v>809000</v>
      </c>
      <c r="AL19" s="0" t="n">
        <v>809000</v>
      </c>
      <c r="AN19" s="0" t="n">
        <v>3.808</v>
      </c>
      <c r="AO19" s="0" t="n">
        <v>2.822</v>
      </c>
      <c r="AP19" s="0" t="n">
        <v>2.923</v>
      </c>
      <c r="AQ19" s="0" t="n">
        <v>100</v>
      </c>
      <c r="AR19" s="0" t="n">
        <v>100</v>
      </c>
      <c r="AS19" s="1" t="n">
        <v>44791</v>
      </c>
      <c r="AT19" s="1" t="n">
        <v>54288</v>
      </c>
      <c r="AU19" s="1" t="n">
        <v>46295</v>
      </c>
      <c r="AV19" s="0" t="s">
        <v>264</v>
      </c>
      <c r="AW19" s="0" t="s">
        <v>196</v>
      </c>
      <c r="AX19" s="0" t="s">
        <v>187</v>
      </c>
      <c r="AY19" s="0" t="s">
        <v>265</v>
      </c>
      <c r="AZ19" s="0" t="s">
        <v>266</v>
      </c>
      <c r="BA19" s="0" t="s">
        <v>230</v>
      </c>
      <c r="BB19" s="0" t="s">
        <v>196</v>
      </c>
      <c r="BC19" s="0" t="s">
        <v>267</v>
      </c>
      <c r="BI19" s="0" t="n">
        <v>1554000</v>
      </c>
      <c r="BJ19" s="0" t="n">
        <v>1817543.86</v>
      </c>
      <c r="BK19" s="0" t="s">
        <v>253</v>
      </c>
      <c r="BL19" s="0" t="s">
        <v>201</v>
      </c>
      <c r="BN19" s="0" t="n">
        <v>15.6</v>
      </c>
      <c r="BO19" s="0" t="n">
        <v>22.14</v>
      </c>
      <c r="BP19" s="0" t="s">
        <v>187</v>
      </c>
      <c r="BQ19" s="0" t="s">
        <v>187</v>
      </c>
      <c r="BR19" s="0" t="s">
        <v>203</v>
      </c>
      <c r="BS19" s="0" t="s">
        <v>272</v>
      </c>
      <c r="BT19" s="0" t="s">
        <v>269</v>
      </c>
      <c r="BU19" s="0" t="s">
        <v>224</v>
      </c>
      <c r="BW19" s="0" t="s">
        <v>257</v>
      </c>
      <c r="BX19" s="0" t="s">
        <v>207</v>
      </c>
      <c r="BY19" s="0" t="n">
        <v>325</v>
      </c>
      <c r="BZ19" s="0" t="n">
        <v>325</v>
      </c>
      <c r="CC19" s="0" t="s">
        <v>210</v>
      </c>
      <c r="CD19" s="0" t="s">
        <v>210</v>
      </c>
      <c r="CE19" s="0" t="s">
        <v>211</v>
      </c>
      <c r="CF19" s="0" t="s">
        <v>211</v>
      </c>
      <c r="CG19" s="0" t="s">
        <v>211</v>
      </c>
      <c r="CH19" s="1" t="n">
        <v>46112</v>
      </c>
      <c r="CI19" s="0" t="n">
        <v>1.2</v>
      </c>
      <c r="CJ19" s="0" t="n">
        <v>3.47</v>
      </c>
      <c r="CK19" s="0" t="n">
        <v>3.64</v>
      </c>
      <c r="CL19" s="0" t="s">
        <v>212</v>
      </c>
      <c r="DA19" s="0" t="n">
        <v>0.53</v>
      </c>
      <c r="DC19" s="0" t="n">
        <v>0.85</v>
      </c>
      <c r="DD19" s="0" t="s">
        <v>212</v>
      </c>
      <c r="ED19" s="0" t="s">
        <v>212</v>
      </c>
      <c r="EE19" s="0" t="n">
        <v>1.05</v>
      </c>
      <c r="EI19" s="0" t="n">
        <v>1.62</v>
      </c>
      <c r="FQ19" s="0" t="n">
        <v>11587832</v>
      </c>
    </row>
    <row r="20" customFormat="false" ht="15" hidden="false" customHeight="false" outlineLevel="0" collapsed="false">
      <c r="B20" s="0" t="str">
        <f aca="false">C20&amp;"x"&amp;I20</f>
        <v>61017x100203</v>
      </c>
      <c r="C20" s="0" t="n">
        <f aca="false">IF(G20="SINGLE",H20,G20)</f>
        <v>61017</v>
      </c>
      <c r="D20" s="0" t="e">
        <f aca="false">_xlfn.XLOOKUP(I20,calculations!$t:$t,calculations!$s:$s)</f>
        <v>#VALUE!</v>
      </c>
      <c r="E20" s="0" t="str">
        <f aca="false">_xlfn.XLOOKUP(I20,Mapping!$T:$T,Mapping!$Q:$Q)</f>
        <v>DELT04</v>
      </c>
      <c r="F20" s="1" t="n">
        <v>46203</v>
      </c>
      <c r="G20" s="0" t="n">
        <v>61017</v>
      </c>
      <c r="H20" s="0" t="n">
        <v>61017</v>
      </c>
      <c r="I20" s="0" t="n">
        <v>100203</v>
      </c>
      <c r="J20" s="0" t="s">
        <v>259</v>
      </c>
      <c r="K20" s="0" t="s">
        <v>274</v>
      </c>
      <c r="L20" s="0" t="s">
        <v>274</v>
      </c>
      <c r="M20" s="0" t="s">
        <v>184</v>
      </c>
      <c r="N20" s="0" t="n">
        <v>706000</v>
      </c>
      <c r="O20" s="0" t="n">
        <v>825730.99</v>
      </c>
      <c r="P20" s="0" t="s">
        <v>185</v>
      </c>
      <c r="Q20" s="0" t="s">
        <v>186</v>
      </c>
      <c r="R20" s="0" t="s">
        <v>187</v>
      </c>
      <c r="S20" s="0" t="s">
        <v>261</v>
      </c>
      <c r="T20" s="0" t="s">
        <v>189</v>
      </c>
      <c r="U20" s="0" t="s">
        <v>229</v>
      </c>
      <c r="V20" s="0" t="s">
        <v>230</v>
      </c>
      <c r="W20" s="0" t="s">
        <v>262</v>
      </c>
      <c r="X20" s="0" t="s">
        <v>263</v>
      </c>
      <c r="Y20" s="0" t="n">
        <v>14.2</v>
      </c>
      <c r="Z20" s="0" t="s">
        <v>219</v>
      </c>
      <c r="AA20" s="0" t="n">
        <v>0.855</v>
      </c>
      <c r="AB20" s="0" t="s">
        <v>202</v>
      </c>
      <c r="AC20" s="0" t="n">
        <v>1356000</v>
      </c>
      <c r="AD20" s="0" t="n">
        <v>1356000</v>
      </c>
      <c r="AE20" s="0" t="n">
        <v>1585964.91</v>
      </c>
      <c r="AF20" s="0" t="n">
        <v>0.5206</v>
      </c>
      <c r="AG20" s="0" t="n">
        <v>706000</v>
      </c>
      <c r="AH20" s="0" t="n">
        <v>706000</v>
      </c>
      <c r="AI20" s="0" t="n">
        <v>650000</v>
      </c>
      <c r="AJ20" s="0" t="n">
        <v>1356000</v>
      </c>
      <c r="AK20" s="0" t="n">
        <v>706000</v>
      </c>
      <c r="AL20" s="0" t="n">
        <v>706000</v>
      </c>
      <c r="AN20" s="0" t="n">
        <v>2.942</v>
      </c>
      <c r="AO20" s="0" t="n">
        <v>3.274</v>
      </c>
      <c r="AP20" s="0" t="n">
        <v>3.515</v>
      </c>
      <c r="AQ20" s="0" t="n">
        <v>100</v>
      </c>
      <c r="AR20" s="0" t="n">
        <v>100</v>
      </c>
      <c r="AS20" s="1" t="n">
        <v>44791</v>
      </c>
      <c r="AT20" s="1" t="n">
        <v>54288</v>
      </c>
      <c r="AU20" s="1" t="n">
        <v>46295</v>
      </c>
      <c r="AV20" s="0" t="s">
        <v>264</v>
      </c>
      <c r="AW20" s="0" t="s">
        <v>196</v>
      </c>
      <c r="AX20" s="0" t="s">
        <v>187</v>
      </c>
      <c r="AY20" s="0" t="s">
        <v>265</v>
      </c>
      <c r="AZ20" s="0" t="s">
        <v>266</v>
      </c>
      <c r="BA20" s="0" t="s">
        <v>230</v>
      </c>
      <c r="BB20" s="0" t="s">
        <v>196</v>
      </c>
      <c r="BC20" s="0" t="s">
        <v>267</v>
      </c>
      <c r="BI20" s="0" t="n">
        <v>1356000</v>
      </c>
      <c r="BJ20" s="0" t="n">
        <v>1585964.91</v>
      </c>
      <c r="BK20" s="0" t="s">
        <v>253</v>
      </c>
      <c r="BL20" s="0" t="s">
        <v>201</v>
      </c>
      <c r="BN20" s="0" t="n">
        <v>15.6</v>
      </c>
      <c r="BO20" s="0" t="n">
        <v>22.14</v>
      </c>
      <c r="BP20" s="0" t="s">
        <v>187</v>
      </c>
      <c r="BQ20" s="0" t="s">
        <v>187</v>
      </c>
      <c r="BR20" s="0" t="s">
        <v>203</v>
      </c>
      <c r="BS20" s="0" t="s">
        <v>268</v>
      </c>
      <c r="BT20" s="0" t="s">
        <v>269</v>
      </c>
      <c r="BU20" s="0" t="s">
        <v>269</v>
      </c>
      <c r="BW20" s="0" t="s">
        <v>257</v>
      </c>
      <c r="BX20" s="0" t="s">
        <v>217</v>
      </c>
      <c r="BY20" s="0" t="n">
        <v>325</v>
      </c>
      <c r="BZ20" s="0" t="n">
        <v>325</v>
      </c>
      <c r="CC20" s="0" t="s">
        <v>210</v>
      </c>
      <c r="CD20" s="0" t="s">
        <v>210</v>
      </c>
      <c r="CE20" s="0" t="s">
        <v>211</v>
      </c>
      <c r="CF20" s="0" t="s">
        <v>211</v>
      </c>
      <c r="CG20" s="0" t="s">
        <v>211</v>
      </c>
      <c r="CH20" s="1" t="n">
        <v>46112</v>
      </c>
      <c r="CI20" s="0" t="n">
        <v>1.2</v>
      </c>
      <c r="CJ20" s="0" t="n">
        <v>2.75</v>
      </c>
      <c r="CK20" s="0" t="n">
        <v>2.89</v>
      </c>
      <c r="CL20" s="0" t="s">
        <v>212</v>
      </c>
      <c r="DA20" s="0" t="n">
        <v>0.54</v>
      </c>
      <c r="DC20" s="0" t="n">
        <v>0.85</v>
      </c>
      <c r="DD20" s="0" t="s">
        <v>212</v>
      </c>
      <c r="ED20" s="0" t="s">
        <v>212</v>
      </c>
      <c r="EE20" s="0" t="n">
        <v>1.05</v>
      </c>
      <c r="EI20" s="0" t="n">
        <v>1.46</v>
      </c>
      <c r="FQ20" s="0" t="n">
        <v>9298998</v>
      </c>
    </row>
    <row r="21" customFormat="false" ht="15" hidden="false" customHeight="false" outlineLevel="0" collapsed="false">
      <c r="B21" s="0" t="str">
        <f aca="false">C21&amp;"x"&amp;I21</f>
        <v>61017x100204</v>
      </c>
      <c r="C21" s="0" t="n">
        <f aca="false">IF(G21="SINGLE",H21,G21)</f>
        <v>61017</v>
      </c>
      <c r="D21" s="0" t="e">
        <f aca="false">_xlfn.XLOOKUP(I21,calculations!$t:$t,calculations!$s:$s)</f>
        <v>#VALUE!</v>
      </c>
      <c r="E21" s="0" t="str">
        <f aca="false">_xlfn.XLOOKUP(I21,Mapping!$T:$T,Mapping!$Q:$Q)</f>
        <v>DELT04</v>
      </c>
      <c r="F21" s="1" t="n">
        <v>46203</v>
      </c>
      <c r="G21" s="0" t="n">
        <v>61017</v>
      </c>
      <c r="H21" s="0" t="n">
        <v>61017</v>
      </c>
      <c r="I21" s="0" t="n">
        <v>100204</v>
      </c>
      <c r="J21" s="0" t="s">
        <v>270</v>
      </c>
      <c r="K21" s="0" t="s">
        <v>274</v>
      </c>
      <c r="L21" s="0" t="s">
        <v>274</v>
      </c>
      <c r="M21" s="0" t="s">
        <v>184</v>
      </c>
      <c r="N21" s="0" t="n">
        <v>471000</v>
      </c>
      <c r="O21" s="0" t="n">
        <v>550877.19</v>
      </c>
      <c r="P21" s="0" t="s">
        <v>185</v>
      </c>
      <c r="Q21" s="0" t="s">
        <v>186</v>
      </c>
      <c r="R21" s="0" t="s">
        <v>187</v>
      </c>
      <c r="S21" s="0" t="s">
        <v>271</v>
      </c>
      <c r="T21" s="0" t="s">
        <v>189</v>
      </c>
      <c r="U21" s="0" t="s">
        <v>229</v>
      </c>
      <c r="V21" s="0" t="s">
        <v>230</v>
      </c>
      <c r="W21" s="0" t="s">
        <v>262</v>
      </c>
      <c r="X21" s="0" t="s">
        <v>263</v>
      </c>
      <c r="Y21" s="0" t="n">
        <v>14.2</v>
      </c>
      <c r="Z21" s="0" t="s">
        <v>219</v>
      </c>
      <c r="AA21" s="0" t="n">
        <v>0.855</v>
      </c>
      <c r="AB21" s="0" t="s">
        <v>202</v>
      </c>
      <c r="AC21" s="0" t="n">
        <v>904000</v>
      </c>
      <c r="AD21" s="0" t="n">
        <v>904000</v>
      </c>
      <c r="AE21" s="0" t="n">
        <v>1057309.94</v>
      </c>
      <c r="AF21" s="0" t="n">
        <v>0.521</v>
      </c>
      <c r="AG21" s="0" t="n">
        <v>471000</v>
      </c>
      <c r="AH21" s="0" t="n">
        <v>471000</v>
      </c>
      <c r="AI21" s="0" t="n">
        <v>433000</v>
      </c>
      <c r="AJ21" s="0" t="n">
        <v>904000</v>
      </c>
      <c r="AK21" s="0" t="n">
        <v>471000</v>
      </c>
      <c r="AL21" s="0" t="n">
        <v>471000</v>
      </c>
      <c r="AN21" s="0" t="n">
        <v>4.253</v>
      </c>
      <c r="AO21" s="0" t="n">
        <v>4.45</v>
      </c>
      <c r="AP21" s="0" t="n">
        <v>5.654</v>
      </c>
      <c r="AQ21" s="0" t="n">
        <v>100</v>
      </c>
      <c r="AR21" s="0" t="n">
        <v>100</v>
      </c>
      <c r="AS21" s="1" t="n">
        <v>44791</v>
      </c>
      <c r="AT21" s="1" t="n">
        <v>54288</v>
      </c>
      <c r="AU21" s="1" t="n">
        <v>46295</v>
      </c>
      <c r="AV21" s="0" t="s">
        <v>264</v>
      </c>
      <c r="AW21" s="0" t="s">
        <v>196</v>
      </c>
      <c r="AX21" s="0" t="s">
        <v>187</v>
      </c>
      <c r="AY21" s="0" t="s">
        <v>265</v>
      </c>
      <c r="AZ21" s="0" t="s">
        <v>266</v>
      </c>
      <c r="BA21" s="0" t="s">
        <v>230</v>
      </c>
      <c r="BB21" s="0" t="s">
        <v>196</v>
      </c>
      <c r="BC21" s="0" t="s">
        <v>267</v>
      </c>
      <c r="BI21" s="0" t="n">
        <v>904000</v>
      </c>
      <c r="BJ21" s="0" t="n">
        <v>1057309.94</v>
      </c>
      <c r="BK21" s="0" t="s">
        <v>253</v>
      </c>
      <c r="BL21" s="0" t="s">
        <v>201</v>
      </c>
      <c r="BN21" s="0" t="n">
        <v>15.6</v>
      </c>
      <c r="BO21" s="0" t="n">
        <v>22.14</v>
      </c>
      <c r="BP21" s="0" t="s">
        <v>187</v>
      </c>
      <c r="BQ21" s="0" t="s">
        <v>187</v>
      </c>
      <c r="BR21" s="0" t="s">
        <v>203</v>
      </c>
      <c r="BS21" s="0" t="s">
        <v>272</v>
      </c>
      <c r="BT21" s="0" t="s">
        <v>269</v>
      </c>
      <c r="BU21" s="0" t="s">
        <v>220</v>
      </c>
      <c r="BW21" s="0" t="s">
        <v>206</v>
      </c>
      <c r="BX21" s="0" t="s">
        <v>217</v>
      </c>
      <c r="BY21" s="0" t="n">
        <v>325</v>
      </c>
      <c r="BZ21" s="0" t="n">
        <v>325</v>
      </c>
      <c r="CC21" s="0" t="s">
        <v>210</v>
      </c>
      <c r="CD21" s="0" t="s">
        <v>210</v>
      </c>
      <c r="CE21" s="0" t="s">
        <v>211</v>
      </c>
      <c r="CF21" s="0" t="s">
        <v>211</v>
      </c>
      <c r="CG21" s="0" t="s">
        <v>211</v>
      </c>
      <c r="CH21" s="1" t="n">
        <v>46112</v>
      </c>
      <c r="CI21" s="0" t="n">
        <v>1.2</v>
      </c>
      <c r="CJ21" s="0" t="n">
        <v>3.12</v>
      </c>
      <c r="CK21" s="0" t="n">
        <v>3.28</v>
      </c>
      <c r="CL21" s="0" t="s">
        <v>212</v>
      </c>
      <c r="DA21" s="0" t="n">
        <v>0.72</v>
      </c>
      <c r="DC21" s="0" t="n">
        <v>0.85</v>
      </c>
      <c r="DD21" s="0" t="s">
        <v>212</v>
      </c>
      <c r="ED21" s="0" t="s">
        <v>213</v>
      </c>
      <c r="EE21" s="0" t="n">
        <v>1.05</v>
      </c>
      <c r="EI21" s="0" t="n">
        <v>1.14</v>
      </c>
      <c r="FQ21" s="0" t="n">
        <v>8993354</v>
      </c>
    </row>
    <row r="22" customFormat="false" ht="15" hidden="false" customHeight="false" outlineLevel="0" collapsed="false">
      <c r="B22" s="0" t="str">
        <f aca="false">C22&amp;"x"&amp;I22</f>
        <v>61019x100203</v>
      </c>
      <c r="C22" s="0" t="n">
        <f aca="false">IF(G22="SINGLE",H22,G22)</f>
        <v>61019</v>
      </c>
      <c r="D22" s="0" t="e">
        <f aca="false">_xlfn.XLOOKUP(I22,calculations!$t:$t,calculations!$s:$s)</f>
        <v>#VALUE!</v>
      </c>
      <c r="E22" s="0" t="str">
        <f aca="false">_xlfn.XLOOKUP(I22,Mapping!$T:$T,Mapping!$Q:$Q)</f>
        <v>DELT04</v>
      </c>
      <c r="F22" s="1" t="n">
        <v>46203</v>
      </c>
      <c r="G22" s="0" t="n">
        <v>61019</v>
      </c>
      <c r="H22" s="0" t="n">
        <v>61019</v>
      </c>
      <c r="I22" s="0" t="n">
        <v>100203</v>
      </c>
      <c r="J22" s="0" t="s">
        <v>259</v>
      </c>
      <c r="K22" s="0" t="s">
        <v>223</v>
      </c>
      <c r="L22" s="0" t="s">
        <v>223</v>
      </c>
      <c r="M22" s="0" t="s">
        <v>184</v>
      </c>
      <c r="N22" s="0" t="n">
        <v>1258000</v>
      </c>
      <c r="O22" s="0" t="n">
        <v>1471345.03</v>
      </c>
      <c r="P22" s="0" t="s">
        <v>185</v>
      </c>
      <c r="Q22" s="0" t="s">
        <v>186</v>
      </c>
      <c r="R22" s="0" t="s">
        <v>187</v>
      </c>
      <c r="S22" s="0" t="s">
        <v>261</v>
      </c>
      <c r="T22" s="0" t="s">
        <v>189</v>
      </c>
      <c r="U22" s="0" t="s">
        <v>229</v>
      </c>
      <c r="V22" s="0" t="s">
        <v>230</v>
      </c>
      <c r="W22" s="0" t="s">
        <v>262</v>
      </c>
      <c r="X22" s="0" t="s">
        <v>263</v>
      </c>
      <c r="Y22" s="0" t="n">
        <v>14.2</v>
      </c>
      <c r="Z22" s="0" t="s">
        <v>219</v>
      </c>
      <c r="AA22" s="0" t="n">
        <v>0.855</v>
      </c>
      <c r="AB22" s="0" t="s">
        <v>202</v>
      </c>
      <c r="AC22" s="0" t="n">
        <v>2417000</v>
      </c>
      <c r="AD22" s="0" t="n">
        <v>2417000</v>
      </c>
      <c r="AE22" s="0" t="n">
        <v>2826900.58</v>
      </c>
      <c r="AF22" s="0" t="n">
        <v>0.5205</v>
      </c>
      <c r="AG22" s="0" t="n">
        <v>1258000</v>
      </c>
      <c r="AH22" s="0" t="n">
        <v>1258000</v>
      </c>
      <c r="AI22" s="0" t="n">
        <v>1159000</v>
      </c>
      <c r="AJ22" s="0" t="n">
        <v>2417000</v>
      </c>
      <c r="AK22" s="0" t="n">
        <v>1258000</v>
      </c>
      <c r="AL22" s="0" t="n">
        <v>1258000</v>
      </c>
      <c r="AN22" s="0" t="n">
        <v>3.116</v>
      </c>
      <c r="AO22" s="0" t="n">
        <v>4.798</v>
      </c>
      <c r="AP22" s="0" t="n">
        <v>5.089</v>
      </c>
      <c r="AQ22" s="0" t="n">
        <v>100</v>
      </c>
      <c r="AR22" s="0" t="n">
        <v>100</v>
      </c>
      <c r="AS22" s="1" t="n">
        <v>44791</v>
      </c>
      <c r="AT22" s="1" t="n">
        <v>54288</v>
      </c>
      <c r="AU22" s="1" t="n">
        <v>46295</v>
      </c>
      <c r="AV22" s="0" t="s">
        <v>264</v>
      </c>
      <c r="AW22" s="0" t="s">
        <v>196</v>
      </c>
      <c r="AX22" s="0" t="s">
        <v>187</v>
      </c>
      <c r="AY22" s="0" t="s">
        <v>265</v>
      </c>
      <c r="AZ22" s="0" t="s">
        <v>266</v>
      </c>
      <c r="BA22" s="0" t="s">
        <v>230</v>
      </c>
      <c r="BB22" s="0" t="s">
        <v>196</v>
      </c>
      <c r="BC22" s="0" t="s">
        <v>267</v>
      </c>
      <c r="BI22" s="0" t="n">
        <v>2417000</v>
      </c>
      <c r="BJ22" s="0" t="n">
        <v>2826900.58</v>
      </c>
      <c r="BK22" s="0" t="s">
        <v>253</v>
      </c>
      <c r="BL22" s="0" t="s">
        <v>201</v>
      </c>
      <c r="BN22" s="0" t="n">
        <v>15.6</v>
      </c>
      <c r="BO22" s="0" t="n">
        <v>22.14</v>
      </c>
      <c r="BP22" s="0" t="s">
        <v>187</v>
      </c>
      <c r="BQ22" s="0" t="s">
        <v>187</v>
      </c>
      <c r="BR22" s="0" t="s">
        <v>203</v>
      </c>
      <c r="BS22" s="0" t="s">
        <v>268</v>
      </c>
      <c r="BT22" s="0" t="s">
        <v>269</v>
      </c>
      <c r="BU22" s="0" t="s">
        <v>224</v>
      </c>
      <c r="BW22" s="0" t="s">
        <v>206</v>
      </c>
      <c r="BX22" s="0" t="s">
        <v>217</v>
      </c>
      <c r="BY22" s="0" t="n">
        <v>325</v>
      </c>
      <c r="BZ22" s="0" t="n">
        <v>325</v>
      </c>
      <c r="CC22" s="0" t="s">
        <v>210</v>
      </c>
      <c r="CD22" s="0" t="s">
        <v>210</v>
      </c>
      <c r="CE22" s="0" t="s">
        <v>211</v>
      </c>
      <c r="CF22" s="0" t="s">
        <v>211</v>
      </c>
      <c r="CG22" s="0" t="s">
        <v>211</v>
      </c>
      <c r="CH22" s="1" t="n">
        <v>46112</v>
      </c>
      <c r="CI22" s="0" t="n">
        <v>1.2</v>
      </c>
      <c r="CJ22" s="0" t="n">
        <v>2.11</v>
      </c>
      <c r="CK22" s="0" t="n">
        <v>2.22</v>
      </c>
      <c r="CL22" s="0" t="s">
        <v>212</v>
      </c>
      <c r="DA22" s="0" t="n">
        <v>0.71</v>
      </c>
      <c r="DC22" s="0" t="n">
        <v>0.85</v>
      </c>
      <c r="DD22" s="0" t="s">
        <v>212</v>
      </c>
      <c r="ED22" s="0" t="s">
        <v>212</v>
      </c>
      <c r="EE22" s="0" t="n">
        <v>1.05</v>
      </c>
      <c r="EI22" s="0" t="n">
        <v>1.73</v>
      </c>
      <c r="FQ22" s="0" t="n">
        <v>9598306</v>
      </c>
    </row>
    <row r="23" customFormat="false" ht="15" hidden="false" customHeight="false" outlineLevel="0" collapsed="false">
      <c r="B23" s="0" t="str">
        <f aca="false">C23&amp;"x"&amp;I23</f>
        <v>61019x100204</v>
      </c>
      <c r="C23" s="0" t="n">
        <f aca="false">IF(G23="SINGLE",H23,G23)</f>
        <v>61019</v>
      </c>
      <c r="D23" s="0" t="e">
        <f aca="false">_xlfn.XLOOKUP(I23,calculations!$t:$t,calculations!$s:$s)</f>
        <v>#VALUE!</v>
      </c>
      <c r="E23" s="0" t="str">
        <f aca="false">_xlfn.XLOOKUP(I23,Mapping!$T:$T,Mapping!$Q:$Q)</f>
        <v>DELT04</v>
      </c>
      <c r="F23" s="1" t="n">
        <v>46203</v>
      </c>
      <c r="G23" s="0" t="n">
        <v>61019</v>
      </c>
      <c r="H23" s="0" t="n">
        <v>61019</v>
      </c>
      <c r="I23" s="0" t="n">
        <v>100204</v>
      </c>
      <c r="J23" s="0" t="s">
        <v>270</v>
      </c>
      <c r="K23" s="0" t="s">
        <v>223</v>
      </c>
      <c r="L23" s="0" t="s">
        <v>223</v>
      </c>
      <c r="M23" s="0" t="s">
        <v>184</v>
      </c>
      <c r="N23" s="0" t="n">
        <v>839000</v>
      </c>
      <c r="O23" s="0" t="n">
        <v>981286.55</v>
      </c>
      <c r="P23" s="0" t="s">
        <v>185</v>
      </c>
      <c r="Q23" s="0" t="s">
        <v>186</v>
      </c>
      <c r="R23" s="0" t="s">
        <v>187</v>
      </c>
      <c r="S23" s="0" t="s">
        <v>271</v>
      </c>
      <c r="T23" s="0" t="s">
        <v>189</v>
      </c>
      <c r="U23" s="0" t="s">
        <v>229</v>
      </c>
      <c r="V23" s="0" t="s">
        <v>230</v>
      </c>
      <c r="W23" s="0" t="s">
        <v>262</v>
      </c>
      <c r="X23" s="0" t="s">
        <v>263</v>
      </c>
      <c r="Y23" s="0" t="n">
        <v>14.2</v>
      </c>
      <c r="Z23" s="0" t="s">
        <v>219</v>
      </c>
      <c r="AA23" s="0" t="n">
        <v>0.855</v>
      </c>
      <c r="AB23" s="0" t="s">
        <v>202</v>
      </c>
      <c r="AC23" s="0" t="n">
        <v>1612000</v>
      </c>
      <c r="AD23" s="0" t="n">
        <v>1612000</v>
      </c>
      <c r="AE23" s="0" t="n">
        <v>1885380.12</v>
      </c>
      <c r="AF23" s="0" t="n">
        <v>0.5205</v>
      </c>
      <c r="AG23" s="0" t="n">
        <v>839000</v>
      </c>
      <c r="AH23" s="0" t="n">
        <v>839000</v>
      </c>
      <c r="AI23" s="0" t="n">
        <v>773000</v>
      </c>
      <c r="AJ23" s="0" t="n">
        <v>1612000</v>
      </c>
      <c r="AK23" s="0" t="n">
        <v>839000</v>
      </c>
      <c r="AL23" s="0" t="n">
        <v>839000</v>
      </c>
      <c r="AN23" s="0" t="n">
        <v>5.316</v>
      </c>
      <c r="AO23" s="0" t="n">
        <v>6.075</v>
      </c>
      <c r="AP23" s="0" t="n">
        <v>4.964</v>
      </c>
      <c r="AQ23" s="0" t="n">
        <v>100</v>
      </c>
      <c r="AR23" s="0" t="n">
        <v>100</v>
      </c>
      <c r="AS23" s="1" t="n">
        <v>44791</v>
      </c>
      <c r="AT23" s="1" t="n">
        <v>54288</v>
      </c>
      <c r="AU23" s="1" t="n">
        <v>46295</v>
      </c>
      <c r="AV23" s="0" t="s">
        <v>264</v>
      </c>
      <c r="AW23" s="0" t="s">
        <v>196</v>
      </c>
      <c r="AX23" s="0" t="s">
        <v>187</v>
      </c>
      <c r="AY23" s="0" t="s">
        <v>265</v>
      </c>
      <c r="AZ23" s="0" t="s">
        <v>266</v>
      </c>
      <c r="BA23" s="0" t="s">
        <v>230</v>
      </c>
      <c r="BB23" s="0" t="s">
        <v>196</v>
      </c>
      <c r="BC23" s="0" t="s">
        <v>267</v>
      </c>
      <c r="BI23" s="0" t="n">
        <v>1612000</v>
      </c>
      <c r="BJ23" s="0" t="n">
        <v>1885380.12</v>
      </c>
      <c r="BK23" s="0" t="s">
        <v>253</v>
      </c>
      <c r="BL23" s="0" t="s">
        <v>201</v>
      </c>
      <c r="BN23" s="0" t="n">
        <v>15.6</v>
      </c>
      <c r="BO23" s="0" t="n">
        <v>22.14</v>
      </c>
      <c r="BP23" s="0" t="s">
        <v>187</v>
      </c>
      <c r="BQ23" s="0" t="s">
        <v>187</v>
      </c>
      <c r="BR23" s="0" t="s">
        <v>203</v>
      </c>
      <c r="BS23" s="0" t="s">
        <v>272</v>
      </c>
      <c r="BT23" s="0" t="s">
        <v>269</v>
      </c>
      <c r="BU23" s="0" t="s">
        <v>255</v>
      </c>
      <c r="BW23" s="0" t="s">
        <v>257</v>
      </c>
      <c r="BX23" s="0" t="s">
        <v>207</v>
      </c>
      <c r="BY23" s="0" t="n">
        <v>325</v>
      </c>
      <c r="BZ23" s="0" t="n">
        <v>325</v>
      </c>
      <c r="CC23" s="0" t="s">
        <v>210</v>
      </c>
      <c r="CD23" s="0" t="s">
        <v>210</v>
      </c>
      <c r="CE23" s="0" t="s">
        <v>211</v>
      </c>
      <c r="CF23" s="0" t="s">
        <v>211</v>
      </c>
      <c r="CG23" s="0" t="s">
        <v>211</v>
      </c>
      <c r="CH23" s="1" t="n">
        <v>46112</v>
      </c>
      <c r="CI23" s="0" t="n">
        <v>1.2</v>
      </c>
      <c r="CJ23" s="0" t="n">
        <v>1.23</v>
      </c>
      <c r="CK23" s="0" t="n">
        <v>1.29</v>
      </c>
      <c r="CL23" s="0" t="s">
        <v>213</v>
      </c>
      <c r="DA23" s="0" t="n">
        <v>0.78</v>
      </c>
      <c r="DC23" s="0" t="n">
        <v>0.85</v>
      </c>
      <c r="DD23" s="0" t="s">
        <v>212</v>
      </c>
      <c r="ED23" s="0" t="s">
        <v>212</v>
      </c>
      <c r="EE23" s="0" t="n">
        <v>1.05</v>
      </c>
      <c r="EI23" s="0" t="n">
        <v>1.73</v>
      </c>
      <c r="FQ23" s="0" t="n">
        <v>8770079</v>
      </c>
    </row>
    <row r="24" customFormat="false" ht="15" hidden="false" customHeight="false" outlineLevel="0" collapsed="false">
      <c r="B24" s="0" t="str">
        <f aca="false">C24&amp;"x"&amp;I24</f>
        <v>61003x100203</v>
      </c>
      <c r="C24" s="0" t="n">
        <f aca="false">IF(G24="SINGLE",H24,G24)</f>
        <v>61003</v>
      </c>
      <c r="D24" s="0" t="e">
        <f aca="false">_xlfn.XLOOKUP(I24,calculations!$t:$t,calculations!$s:$s)</f>
        <v>#VALUE!</v>
      </c>
      <c r="E24" s="0" t="str">
        <f aca="false">_xlfn.XLOOKUP(I24,Mapping!$T:$T,Mapping!$Q:$Q)</f>
        <v>DELT04</v>
      </c>
      <c r="F24" s="1" t="n">
        <v>46203</v>
      </c>
      <c r="G24" s="0" t="n">
        <v>61003</v>
      </c>
      <c r="H24" s="0" t="n">
        <v>61003</v>
      </c>
      <c r="I24" s="0" t="n">
        <v>100203</v>
      </c>
      <c r="J24" s="0" t="s">
        <v>259</v>
      </c>
      <c r="K24" s="0" t="s">
        <v>226</v>
      </c>
      <c r="L24" s="0" t="s">
        <v>226</v>
      </c>
      <c r="M24" s="0" t="s">
        <v>184</v>
      </c>
      <c r="N24" s="0" t="n">
        <v>1062000</v>
      </c>
      <c r="O24" s="0" t="n">
        <v>1242105.26</v>
      </c>
      <c r="P24" s="0" t="s">
        <v>185</v>
      </c>
      <c r="Q24" s="0" t="s">
        <v>186</v>
      </c>
      <c r="R24" s="0" t="s">
        <v>187</v>
      </c>
      <c r="S24" s="0" t="s">
        <v>261</v>
      </c>
      <c r="T24" s="0" t="s">
        <v>189</v>
      </c>
      <c r="U24" s="0" t="s">
        <v>229</v>
      </c>
      <c r="V24" s="0" t="s">
        <v>230</v>
      </c>
      <c r="W24" s="0" t="s">
        <v>262</v>
      </c>
      <c r="X24" s="0" t="s">
        <v>263</v>
      </c>
      <c r="Y24" s="0" t="n">
        <v>14.2</v>
      </c>
      <c r="Z24" s="0" t="s">
        <v>219</v>
      </c>
      <c r="AA24" s="0" t="n">
        <v>0.855</v>
      </c>
      <c r="AB24" s="0" t="s">
        <v>202</v>
      </c>
      <c r="AC24" s="0" t="n">
        <v>2040000</v>
      </c>
      <c r="AD24" s="0" t="n">
        <v>2040000</v>
      </c>
      <c r="AE24" s="0" t="n">
        <v>2385964.91</v>
      </c>
      <c r="AF24" s="0" t="n">
        <v>0.5206</v>
      </c>
      <c r="AG24" s="0" t="n">
        <v>1062000</v>
      </c>
      <c r="AH24" s="0" t="n">
        <v>1062000</v>
      </c>
      <c r="AI24" s="0" t="n">
        <v>978000</v>
      </c>
      <c r="AJ24" s="0" t="n">
        <v>2040000</v>
      </c>
      <c r="AK24" s="0" t="n">
        <v>1062000</v>
      </c>
      <c r="AL24" s="0" t="n">
        <v>1062000</v>
      </c>
      <c r="AN24" s="0" t="n">
        <v>3.163</v>
      </c>
      <c r="AO24" s="0" t="n">
        <v>5.504</v>
      </c>
      <c r="AP24" s="0" t="n">
        <v>2.581</v>
      </c>
      <c r="AQ24" s="0" t="n">
        <v>100</v>
      </c>
      <c r="AR24" s="0" t="n">
        <v>100</v>
      </c>
      <c r="AS24" s="1" t="n">
        <v>44791</v>
      </c>
      <c r="AT24" s="1" t="n">
        <v>54288</v>
      </c>
      <c r="AU24" s="1" t="n">
        <v>46295</v>
      </c>
      <c r="AV24" s="0" t="s">
        <v>264</v>
      </c>
      <c r="AW24" s="0" t="s">
        <v>196</v>
      </c>
      <c r="AX24" s="0" t="s">
        <v>187</v>
      </c>
      <c r="AY24" s="0" t="s">
        <v>265</v>
      </c>
      <c r="AZ24" s="0" t="s">
        <v>266</v>
      </c>
      <c r="BA24" s="0" t="s">
        <v>230</v>
      </c>
      <c r="BB24" s="0" t="s">
        <v>196</v>
      </c>
      <c r="BC24" s="0" t="s">
        <v>267</v>
      </c>
      <c r="BI24" s="0" t="n">
        <v>2040000</v>
      </c>
      <c r="BJ24" s="0" t="n">
        <v>2385964.91</v>
      </c>
      <c r="BK24" s="0" t="s">
        <v>253</v>
      </c>
      <c r="BL24" s="0" t="s">
        <v>201</v>
      </c>
      <c r="BN24" s="0" t="n">
        <v>15.6</v>
      </c>
      <c r="BO24" s="0" t="n">
        <v>22.14</v>
      </c>
      <c r="BP24" s="0" t="s">
        <v>187</v>
      </c>
      <c r="BQ24" s="0" t="s">
        <v>187</v>
      </c>
      <c r="BR24" s="0" t="s">
        <v>203</v>
      </c>
      <c r="BS24" s="0" t="s">
        <v>268</v>
      </c>
      <c r="BT24" s="0" t="s">
        <v>269</v>
      </c>
      <c r="BU24" s="0" t="s">
        <v>220</v>
      </c>
      <c r="BW24" s="0" t="s">
        <v>257</v>
      </c>
      <c r="BX24" s="0" t="s">
        <v>207</v>
      </c>
      <c r="BY24" s="0" t="n">
        <v>325</v>
      </c>
      <c r="BZ24" s="0" t="n">
        <v>325</v>
      </c>
      <c r="CC24" s="0" t="s">
        <v>210</v>
      </c>
      <c r="CD24" s="0" t="s">
        <v>210</v>
      </c>
      <c r="CE24" s="0" t="s">
        <v>211</v>
      </c>
      <c r="CF24" s="0" t="s">
        <v>211</v>
      </c>
      <c r="CG24" s="0" t="s">
        <v>211</v>
      </c>
      <c r="CH24" s="1" t="n">
        <v>46112</v>
      </c>
      <c r="CI24" s="0" t="n">
        <v>1.2</v>
      </c>
      <c r="CJ24" s="0" t="n">
        <v>1.35</v>
      </c>
      <c r="CK24" s="0" t="n">
        <v>1.42</v>
      </c>
      <c r="CL24" s="0" t="s">
        <v>212</v>
      </c>
      <c r="DA24" s="0" t="n">
        <v>0.59</v>
      </c>
      <c r="DC24" s="0" t="n">
        <v>0.85</v>
      </c>
      <c r="DD24" s="0" t="s">
        <v>212</v>
      </c>
      <c r="ED24" s="0" t="s">
        <v>212</v>
      </c>
      <c r="EE24" s="0" t="n">
        <v>1.05</v>
      </c>
      <c r="EI24" s="0" t="n">
        <v>1.28</v>
      </c>
      <c r="FQ24" s="0" t="n">
        <v>9297780</v>
      </c>
    </row>
    <row r="25" customFormat="false" ht="15" hidden="false" customHeight="false" outlineLevel="0" collapsed="false">
      <c r="B25" s="0" t="str">
        <f aca="false">C25&amp;"x"&amp;I25</f>
        <v>61003x100204</v>
      </c>
      <c r="C25" s="0" t="n">
        <f aca="false">IF(G25="SINGLE",H25,G25)</f>
        <v>61003</v>
      </c>
      <c r="D25" s="0" t="e">
        <f aca="false">_xlfn.XLOOKUP(I25,calculations!$t:$t,calculations!$s:$s)</f>
        <v>#VALUE!</v>
      </c>
      <c r="E25" s="0" t="str">
        <f aca="false">_xlfn.XLOOKUP(I25,Mapping!$T:$T,Mapping!$Q:$Q)</f>
        <v>DELT04</v>
      </c>
      <c r="F25" s="1" t="n">
        <v>46203</v>
      </c>
      <c r="G25" s="0" t="n">
        <v>61003</v>
      </c>
      <c r="H25" s="0" t="n">
        <v>61003</v>
      </c>
      <c r="I25" s="0" t="n">
        <v>100204</v>
      </c>
      <c r="J25" s="0" t="s">
        <v>270</v>
      </c>
      <c r="K25" s="0" t="s">
        <v>226</v>
      </c>
      <c r="L25" s="0" t="s">
        <v>226</v>
      </c>
      <c r="M25" s="0" t="s">
        <v>184</v>
      </c>
      <c r="N25" s="0" t="n">
        <v>708000</v>
      </c>
      <c r="O25" s="0" t="n">
        <v>828070.18</v>
      </c>
      <c r="P25" s="0" t="s">
        <v>185</v>
      </c>
      <c r="Q25" s="0" t="s">
        <v>186</v>
      </c>
      <c r="R25" s="0" t="s">
        <v>187</v>
      </c>
      <c r="S25" s="0" t="s">
        <v>271</v>
      </c>
      <c r="T25" s="0" t="s">
        <v>189</v>
      </c>
      <c r="U25" s="0" t="s">
        <v>229</v>
      </c>
      <c r="V25" s="0" t="s">
        <v>230</v>
      </c>
      <c r="W25" s="0" t="s">
        <v>262</v>
      </c>
      <c r="X25" s="0" t="s">
        <v>263</v>
      </c>
      <c r="Y25" s="0" t="n">
        <v>14.2</v>
      </c>
      <c r="Z25" s="0" t="s">
        <v>219</v>
      </c>
      <c r="AA25" s="0" t="n">
        <v>0.855</v>
      </c>
      <c r="AB25" s="0" t="s">
        <v>202</v>
      </c>
      <c r="AC25" s="0" t="n">
        <v>1360000</v>
      </c>
      <c r="AD25" s="0" t="n">
        <v>1360000</v>
      </c>
      <c r="AE25" s="0" t="n">
        <v>1590643.27</v>
      </c>
      <c r="AF25" s="0" t="n">
        <v>0.5206</v>
      </c>
      <c r="AG25" s="0" t="n">
        <v>708000</v>
      </c>
      <c r="AH25" s="0" t="n">
        <v>708000</v>
      </c>
      <c r="AI25" s="0" t="n">
        <v>652000</v>
      </c>
      <c r="AJ25" s="0" t="n">
        <v>1360000</v>
      </c>
      <c r="AK25" s="0" t="n">
        <v>708000</v>
      </c>
      <c r="AL25" s="0" t="n">
        <v>708000</v>
      </c>
      <c r="AN25" s="0" t="n">
        <v>3.346</v>
      </c>
      <c r="AO25" s="0" t="n">
        <v>3.327</v>
      </c>
      <c r="AP25" s="0" t="n">
        <v>5.154</v>
      </c>
      <c r="AQ25" s="0" t="n">
        <v>100</v>
      </c>
      <c r="AR25" s="0" t="n">
        <v>100</v>
      </c>
      <c r="AS25" s="1" t="n">
        <v>44791</v>
      </c>
      <c r="AT25" s="1" t="n">
        <v>54288</v>
      </c>
      <c r="AU25" s="1" t="n">
        <v>46295</v>
      </c>
      <c r="AV25" s="0" t="s">
        <v>264</v>
      </c>
      <c r="AW25" s="0" t="s">
        <v>196</v>
      </c>
      <c r="AX25" s="0" t="s">
        <v>187</v>
      </c>
      <c r="AY25" s="0" t="s">
        <v>265</v>
      </c>
      <c r="AZ25" s="0" t="s">
        <v>266</v>
      </c>
      <c r="BA25" s="0" t="s">
        <v>230</v>
      </c>
      <c r="BB25" s="0" t="s">
        <v>196</v>
      </c>
      <c r="BC25" s="0" t="s">
        <v>267</v>
      </c>
      <c r="BI25" s="0" t="n">
        <v>1360000</v>
      </c>
      <c r="BJ25" s="0" t="n">
        <v>1590643.27</v>
      </c>
      <c r="BK25" s="0" t="s">
        <v>253</v>
      </c>
      <c r="BL25" s="0" t="s">
        <v>201</v>
      </c>
      <c r="BN25" s="0" t="n">
        <v>15.6</v>
      </c>
      <c r="BO25" s="0" t="n">
        <v>22.14</v>
      </c>
      <c r="BP25" s="0" t="s">
        <v>187</v>
      </c>
      <c r="BQ25" s="0" t="s">
        <v>187</v>
      </c>
      <c r="BR25" s="0" t="s">
        <v>203</v>
      </c>
      <c r="BS25" s="0" t="s">
        <v>272</v>
      </c>
      <c r="BT25" s="0" t="s">
        <v>269</v>
      </c>
      <c r="BU25" s="0" t="s">
        <v>224</v>
      </c>
      <c r="BW25" s="0" t="s">
        <v>257</v>
      </c>
      <c r="BX25" s="0" t="s">
        <v>217</v>
      </c>
      <c r="BY25" s="0" t="n">
        <v>325</v>
      </c>
      <c r="BZ25" s="0" t="n">
        <v>325</v>
      </c>
      <c r="CC25" s="0" t="s">
        <v>210</v>
      </c>
      <c r="CD25" s="0" t="s">
        <v>210</v>
      </c>
      <c r="CE25" s="0" t="s">
        <v>211</v>
      </c>
      <c r="CF25" s="0" t="s">
        <v>211</v>
      </c>
      <c r="CG25" s="0" t="s">
        <v>211</v>
      </c>
      <c r="CH25" s="1" t="n">
        <v>46112</v>
      </c>
      <c r="CI25" s="0" t="n">
        <v>1.2</v>
      </c>
      <c r="CJ25" s="0" t="n">
        <v>2.63</v>
      </c>
      <c r="CK25" s="0" t="n">
        <v>2.76</v>
      </c>
      <c r="CL25" s="0" t="s">
        <v>212</v>
      </c>
      <c r="DA25" s="0" t="n">
        <v>0.64</v>
      </c>
      <c r="DC25" s="0" t="n">
        <v>0.85</v>
      </c>
      <c r="DD25" s="0" t="s">
        <v>212</v>
      </c>
      <c r="ED25" s="0" t="s">
        <v>212</v>
      </c>
      <c r="EE25" s="0" t="n">
        <v>1.05</v>
      </c>
      <c r="EI25" s="0" t="n">
        <v>1.59</v>
      </c>
      <c r="FQ25" s="0" t="n">
        <v>8574396</v>
      </c>
    </row>
    <row r="26" customFormat="false" ht="15" hidden="false" customHeight="false" outlineLevel="0" collapsed="false">
      <c r="B26" s="0" t="str">
        <f aca="false">C26&amp;"x"&amp;I26</f>
        <v>61005x100203</v>
      </c>
      <c r="C26" s="0" t="n">
        <f aca="false">IF(G26="SINGLE",H26,G26)</f>
        <v>61005</v>
      </c>
      <c r="D26" s="0" t="e">
        <f aca="false">_xlfn.XLOOKUP(I26,calculations!$t:$t,calculations!$s:$s)</f>
        <v>#VALUE!</v>
      </c>
      <c r="E26" s="0" t="str">
        <f aca="false">_xlfn.XLOOKUP(I26,Mapping!$T:$T,Mapping!$Q:$Q)</f>
        <v>DELT04</v>
      </c>
      <c r="F26" s="1" t="n">
        <v>46203</v>
      </c>
      <c r="G26" s="0" t="n">
        <v>61005</v>
      </c>
      <c r="H26" s="0" t="n">
        <v>61005</v>
      </c>
      <c r="I26" s="0" t="n">
        <v>100203</v>
      </c>
      <c r="J26" s="0" t="s">
        <v>259</v>
      </c>
      <c r="K26" s="0" t="s">
        <v>275</v>
      </c>
      <c r="L26" s="0" t="s">
        <v>275</v>
      </c>
      <c r="M26" s="0" t="s">
        <v>184</v>
      </c>
      <c r="N26" s="0" t="n">
        <v>982000</v>
      </c>
      <c r="O26" s="0" t="n">
        <v>1148538.01</v>
      </c>
      <c r="P26" s="0" t="s">
        <v>185</v>
      </c>
      <c r="Q26" s="0" t="s">
        <v>186</v>
      </c>
      <c r="R26" s="0" t="s">
        <v>187</v>
      </c>
      <c r="S26" s="0" t="s">
        <v>261</v>
      </c>
      <c r="T26" s="0" t="s">
        <v>189</v>
      </c>
      <c r="U26" s="0" t="s">
        <v>229</v>
      </c>
      <c r="V26" s="0" t="s">
        <v>230</v>
      </c>
      <c r="W26" s="0" t="s">
        <v>262</v>
      </c>
      <c r="X26" s="0" t="s">
        <v>263</v>
      </c>
      <c r="Y26" s="0" t="n">
        <v>14.2</v>
      </c>
      <c r="Z26" s="0" t="s">
        <v>219</v>
      </c>
      <c r="AA26" s="0" t="n">
        <v>0.855</v>
      </c>
      <c r="AB26" s="0" t="s">
        <v>202</v>
      </c>
      <c r="AC26" s="0" t="n">
        <v>1886000</v>
      </c>
      <c r="AD26" s="0" t="n">
        <v>1886000</v>
      </c>
      <c r="AE26" s="0" t="n">
        <v>2205847.95</v>
      </c>
      <c r="AF26" s="0" t="n">
        <v>0.5207</v>
      </c>
      <c r="AG26" s="0" t="n">
        <v>982000</v>
      </c>
      <c r="AH26" s="0" t="n">
        <v>982000</v>
      </c>
      <c r="AI26" s="0" t="n">
        <v>904000</v>
      </c>
      <c r="AJ26" s="0" t="n">
        <v>1886000</v>
      </c>
      <c r="AK26" s="0" t="n">
        <v>982000</v>
      </c>
      <c r="AL26" s="0" t="n">
        <v>982000</v>
      </c>
      <c r="AN26" s="0" t="n">
        <v>5.701</v>
      </c>
      <c r="AO26" s="0" t="n">
        <v>5.096</v>
      </c>
      <c r="AP26" s="0" t="n">
        <v>4.338</v>
      </c>
      <c r="AQ26" s="0" t="n">
        <v>100</v>
      </c>
      <c r="AR26" s="0" t="n">
        <v>100</v>
      </c>
      <c r="AS26" s="1" t="n">
        <v>44791</v>
      </c>
      <c r="AT26" s="1" t="n">
        <v>54288</v>
      </c>
      <c r="AU26" s="1" t="n">
        <v>46295</v>
      </c>
      <c r="AV26" s="0" t="s">
        <v>264</v>
      </c>
      <c r="AW26" s="0" t="s">
        <v>196</v>
      </c>
      <c r="AX26" s="0" t="s">
        <v>187</v>
      </c>
      <c r="AY26" s="0" t="s">
        <v>265</v>
      </c>
      <c r="AZ26" s="0" t="s">
        <v>266</v>
      </c>
      <c r="BA26" s="0" t="s">
        <v>230</v>
      </c>
      <c r="BB26" s="0" t="s">
        <v>196</v>
      </c>
      <c r="BC26" s="0" t="s">
        <v>267</v>
      </c>
      <c r="BI26" s="0" t="n">
        <v>1886000</v>
      </c>
      <c r="BJ26" s="0" t="n">
        <v>2205847.95</v>
      </c>
      <c r="BK26" s="0" t="s">
        <v>253</v>
      </c>
      <c r="BL26" s="0" t="s">
        <v>201</v>
      </c>
      <c r="BN26" s="0" t="n">
        <v>15.6</v>
      </c>
      <c r="BO26" s="0" t="n">
        <v>22.14</v>
      </c>
      <c r="BP26" s="0" t="s">
        <v>187</v>
      </c>
      <c r="BQ26" s="0" t="s">
        <v>187</v>
      </c>
      <c r="BR26" s="0" t="s">
        <v>203</v>
      </c>
      <c r="BS26" s="0" t="s">
        <v>268</v>
      </c>
      <c r="BT26" s="0" t="s">
        <v>269</v>
      </c>
      <c r="BU26" s="0" t="s">
        <v>205</v>
      </c>
      <c r="BW26" s="0" t="s">
        <v>206</v>
      </c>
      <c r="BX26" s="0" t="s">
        <v>207</v>
      </c>
      <c r="BY26" s="0" t="n">
        <v>325</v>
      </c>
      <c r="BZ26" s="0" t="n">
        <v>325</v>
      </c>
      <c r="CC26" s="0" t="s">
        <v>210</v>
      </c>
      <c r="CD26" s="0" t="s">
        <v>210</v>
      </c>
      <c r="CE26" s="0" t="s">
        <v>211</v>
      </c>
      <c r="CF26" s="0" t="s">
        <v>211</v>
      </c>
      <c r="CG26" s="0" t="s">
        <v>211</v>
      </c>
      <c r="CH26" s="1" t="n">
        <v>46112</v>
      </c>
      <c r="CI26" s="0" t="n">
        <v>1.2</v>
      </c>
      <c r="CJ26" s="0" t="n">
        <v>2.35</v>
      </c>
      <c r="CK26" s="0" t="n">
        <v>2.47</v>
      </c>
      <c r="CL26" s="0" t="s">
        <v>212</v>
      </c>
      <c r="DA26" s="0" t="n">
        <v>0.62</v>
      </c>
      <c r="DC26" s="0" t="n">
        <v>0.85</v>
      </c>
      <c r="DD26" s="0" t="s">
        <v>212</v>
      </c>
      <c r="ED26" s="0" t="s">
        <v>212</v>
      </c>
      <c r="EE26" s="0" t="n">
        <v>1.05</v>
      </c>
      <c r="EI26" s="0" t="n">
        <v>1.54</v>
      </c>
      <c r="FQ26" s="0" t="n">
        <v>11177513</v>
      </c>
    </row>
    <row r="27" customFormat="false" ht="15" hidden="false" customHeight="false" outlineLevel="0" collapsed="false">
      <c r="B27" s="0" t="str">
        <f aca="false">C27&amp;"x"&amp;I27</f>
        <v>61005x100204</v>
      </c>
      <c r="C27" s="0" t="n">
        <f aca="false">IF(G27="SINGLE",H27,G27)</f>
        <v>61005</v>
      </c>
      <c r="D27" s="0" t="e">
        <f aca="false">_xlfn.XLOOKUP(I27,calculations!$t:$t,calculations!$s:$s)</f>
        <v>#VALUE!</v>
      </c>
      <c r="E27" s="0" t="str">
        <f aca="false">_xlfn.XLOOKUP(I27,Mapping!$T:$T,Mapping!$Q:$Q)</f>
        <v>DELT04</v>
      </c>
      <c r="F27" s="1" t="n">
        <v>46203</v>
      </c>
      <c r="G27" s="0" t="n">
        <v>61005</v>
      </c>
      <c r="H27" s="0" t="n">
        <v>61005</v>
      </c>
      <c r="I27" s="0" t="n">
        <v>100204</v>
      </c>
      <c r="J27" s="0" t="s">
        <v>270</v>
      </c>
      <c r="K27" s="0" t="s">
        <v>275</v>
      </c>
      <c r="L27" s="0" t="s">
        <v>275</v>
      </c>
      <c r="M27" s="0" t="s">
        <v>184</v>
      </c>
      <c r="N27" s="0" t="n">
        <v>655000</v>
      </c>
      <c r="O27" s="0" t="n">
        <v>766081.87</v>
      </c>
      <c r="P27" s="0" t="s">
        <v>185</v>
      </c>
      <c r="Q27" s="0" t="s">
        <v>186</v>
      </c>
      <c r="R27" s="0" t="s">
        <v>187</v>
      </c>
      <c r="S27" s="0" t="s">
        <v>271</v>
      </c>
      <c r="T27" s="0" t="s">
        <v>189</v>
      </c>
      <c r="U27" s="0" t="s">
        <v>229</v>
      </c>
      <c r="V27" s="0" t="s">
        <v>230</v>
      </c>
      <c r="W27" s="0" t="s">
        <v>262</v>
      </c>
      <c r="X27" s="0" t="s">
        <v>263</v>
      </c>
      <c r="Y27" s="0" t="n">
        <v>14.2</v>
      </c>
      <c r="Z27" s="0" t="s">
        <v>219</v>
      </c>
      <c r="AA27" s="0" t="n">
        <v>0.855</v>
      </c>
      <c r="AB27" s="0" t="s">
        <v>202</v>
      </c>
      <c r="AC27" s="0" t="n">
        <v>1258000</v>
      </c>
      <c r="AD27" s="0" t="n">
        <v>1258000</v>
      </c>
      <c r="AE27" s="0" t="n">
        <v>1471345.03</v>
      </c>
      <c r="AF27" s="0" t="n">
        <v>0.5207</v>
      </c>
      <c r="AG27" s="0" t="n">
        <v>655000</v>
      </c>
      <c r="AH27" s="0" t="n">
        <v>655000</v>
      </c>
      <c r="AI27" s="0" t="n">
        <v>603000</v>
      </c>
      <c r="AJ27" s="0" t="n">
        <v>1258000</v>
      </c>
      <c r="AK27" s="0" t="n">
        <v>655000</v>
      </c>
      <c r="AL27" s="0" t="n">
        <v>655000</v>
      </c>
      <c r="AN27" s="0" t="n">
        <v>3.847</v>
      </c>
      <c r="AO27" s="0" t="n">
        <v>5.633</v>
      </c>
      <c r="AP27" s="0" t="n">
        <v>5.81</v>
      </c>
      <c r="AQ27" s="0" t="n">
        <v>100</v>
      </c>
      <c r="AR27" s="0" t="n">
        <v>100</v>
      </c>
      <c r="AS27" s="1" t="n">
        <v>44791</v>
      </c>
      <c r="AT27" s="1" t="n">
        <v>54288</v>
      </c>
      <c r="AU27" s="1" t="n">
        <v>46295</v>
      </c>
      <c r="AV27" s="0" t="s">
        <v>264</v>
      </c>
      <c r="AW27" s="0" t="s">
        <v>196</v>
      </c>
      <c r="AX27" s="0" t="s">
        <v>187</v>
      </c>
      <c r="AY27" s="0" t="s">
        <v>265</v>
      </c>
      <c r="AZ27" s="0" t="s">
        <v>266</v>
      </c>
      <c r="BA27" s="0" t="s">
        <v>230</v>
      </c>
      <c r="BB27" s="0" t="s">
        <v>196</v>
      </c>
      <c r="BC27" s="0" t="s">
        <v>267</v>
      </c>
      <c r="BI27" s="0" t="n">
        <v>1258000</v>
      </c>
      <c r="BJ27" s="0" t="n">
        <v>1471345.03</v>
      </c>
      <c r="BK27" s="0" t="s">
        <v>253</v>
      </c>
      <c r="BL27" s="0" t="s">
        <v>201</v>
      </c>
      <c r="BN27" s="0" t="n">
        <v>15.6</v>
      </c>
      <c r="BO27" s="0" t="n">
        <v>22.14</v>
      </c>
      <c r="BP27" s="0" t="s">
        <v>187</v>
      </c>
      <c r="BQ27" s="0" t="s">
        <v>187</v>
      </c>
      <c r="BR27" s="0" t="s">
        <v>203</v>
      </c>
      <c r="BS27" s="0" t="s">
        <v>272</v>
      </c>
      <c r="BT27" s="0" t="s">
        <v>269</v>
      </c>
      <c r="BU27" s="0" t="s">
        <v>255</v>
      </c>
      <c r="BW27" s="0" t="s">
        <v>206</v>
      </c>
      <c r="BX27" s="0" t="s">
        <v>207</v>
      </c>
      <c r="BY27" s="0" t="n">
        <v>325</v>
      </c>
      <c r="BZ27" s="0" t="n">
        <v>325</v>
      </c>
      <c r="CC27" s="0" t="s">
        <v>210</v>
      </c>
      <c r="CD27" s="0" t="s">
        <v>210</v>
      </c>
      <c r="CE27" s="0" t="s">
        <v>211</v>
      </c>
      <c r="CF27" s="0" t="s">
        <v>211</v>
      </c>
      <c r="CG27" s="0" t="s">
        <v>211</v>
      </c>
      <c r="CH27" s="1" t="n">
        <v>46112</v>
      </c>
      <c r="CI27" s="0" t="n">
        <v>1.2</v>
      </c>
      <c r="CJ27" s="0" t="n">
        <v>2.58</v>
      </c>
      <c r="CK27" s="0" t="n">
        <v>2.71</v>
      </c>
      <c r="CL27" s="0" t="s">
        <v>212</v>
      </c>
      <c r="DA27" s="0" t="n">
        <v>0.77</v>
      </c>
      <c r="DC27" s="0" t="n">
        <v>0.85</v>
      </c>
      <c r="DD27" s="0" t="s">
        <v>212</v>
      </c>
      <c r="ED27" s="0" t="s">
        <v>212</v>
      </c>
      <c r="EE27" s="0" t="n">
        <v>1.05</v>
      </c>
      <c r="EI27" s="0" t="n">
        <v>1.26</v>
      </c>
      <c r="FQ27" s="0" t="n">
        <v>8826972</v>
      </c>
    </row>
    <row r="28" customFormat="false" ht="15" hidden="false" customHeight="false" outlineLevel="0" collapsed="false">
      <c r="B28" s="0" t="str">
        <f aca="false">C28&amp;"x"&amp;I28</f>
        <v>61008x100205</v>
      </c>
      <c r="C28" s="0" t="n">
        <f aca="false">IF(G28="SINGLE",H28,G28)</f>
        <v>61008</v>
      </c>
      <c r="D28" s="0" t="e">
        <f aca="false">_xlfn.XLOOKUP(I28,calculations!$t:$t,calculations!$s:$s)</f>
        <v>#VALUE!</v>
      </c>
      <c r="E28" s="0" t="str">
        <f aca="false">_xlfn.XLOOKUP(I28,Mapping!$T:$T,Mapping!$Q:$Q)</f>
        <v>EMBE05</v>
      </c>
      <c r="F28" s="1" t="n">
        <v>46203</v>
      </c>
      <c r="G28" s="0" t="n">
        <v>61008</v>
      </c>
      <c r="H28" s="0" t="n">
        <v>61008</v>
      </c>
      <c r="I28" s="0" t="n">
        <v>100205</v>
      </c>
      <c r="J28" s="0" t="s">
        <v>276</v>
      </c>
      <c r="K28" s="0" t="s">
        <v>277</v>
      </c>
      <c r="L28" s="0" t="s">
        <v>277</v>
      </c>
      <c r="M28" s="0" t="s">
        <v>184</v>
      </c>
      <c r="N28" s="0" t="n">
        <v>3782000</v>
      </c>
      <c r="O28" s="0" t="n">
        <v>3782000</v>
      </c>
      <c r="P28" s="0" t="s">
        <v>185</v>
      </c>
      <c r="Q28" s="0" t="s">
        <v>227</v>
      </c>
      <c r="R28" s="0" t="s">
        <v>187</v>
      </c>
      <c r="S28" s="0" t="s">
        <v>278</v>
      </c>
      <c r="T28" s="0" t="s">
        <v>189</v>
      </c>
      <c r="U28" s="0" t="s">
        <v>279</v>
      </c>
      <c r="V28" s="0" t="s">
        <v>280</v>
      </c>
      <c r="W28" s="0" t="s">
        <v>281</v>
      </c>
      <c r="X28" s="0" t="s">
        <v>282</v>
      </c>
      <c r="Y28" s="0" t="n">
        <v>8.1</v>
      </c>
      <c r="Z28" s="0" t="s">
        <v>185</v>
      </c>
      <c r="AA28" s="0" t="n">
        <v>1</v>
      </c>
      <c r="AB28" s="0" t="s">
        <v>187</v>
      </c>
      <c r="AC28" s="0" t="n">
        <v>4081000</v>
      </c>
      <c r="AD28" s="0" t="n">
        <v>4081000</v>
      </c>
      <c r="AE28" s="0" t="n">
        <v>4081000</v>
      </c>
      <c r="AF28" s="0" t="n">
        <v>0.9267</v>
      </c>
      <c r="AG28" s="0" t="n">
        <v>3782000</v>
      </c>
      <c r="AH28" s="0" t="n">
        <v>3782000</v>
      </c>
      <c r="AI28" s="0" t="n">
        <v>299000</v>
      </c>
      <c r="AJ28" s="0" t="n">
        <v>4081000</v>
      </c>
      <c r="AK28" s="0" t="n">
        <v>3782000</v>
      </c>
      <c r="AL28" s="0" t="n">
        <v>3782000</v>
      </c>
      <c r="AN28" s="0" t="n">
        <v>3.717</v>
      </c>
      <c r="AO28" s="0" t="n">
        <v>4.718</v>
      </c>
      <c r="AP28" s="0" t="n">
        <v>5.783</v>
      </c>
      <c r="AQ28" s="0" t="n">
        <v>100</v>
      </c>
      <c r="AR28" s="0" t="n">
        <v>100</v>
      </c>
      <c r="AS28" s="1" t="n">
        <v>44791</v>
      </c>
      <c r="AT28" s="1" t="n">
        <v>48809</v>
      </c>
      <c r="AU28" s="1" t="n">
        <v>46295</v>
      </c>
      <c r="AV28" s="0" t="s">
        <v>283</v>
      </c>
      <c r="AW28" s="0" t="s">
        <v>284</v>
      </c>
      <c r="AX28" s="0" t="s">
        <v>187</v>
      </c>
      <c r="AY28" s="0" t="s">
        <v>285</v>
      </c>
      <c r="AZ28" s="0" t="s">
        <v>286</v>
      </c>
      <c r="BA28" s="0" t="s">
        <v>280</v>
      </c>
      <c r="BB28" s="0" t="s">
        <v>284</v>
      </c>
      <c r="BC28" s="0" t="s">
        <v>287</v>
      </c>
      <c r="BI28" s="0" t="n">
        <v>4081000</v>
      </c>
      <c r="BJ28" s="0" t="n">
        <v>4081000</v>
      </c>
      <c r="BK28" s="0" t="s">
        <v>253</v>
      </c>
      <c r="BL28" s="0" t="s">
        <v>201</v>
      </c>
      <c r="BN28" s="0" t="n">
        <v>6.6</v>
      </c>
      <c r="BO28" s="0" t="n">
        <v>7.13</v>
      </c>
      <c r="BP28" s="0" t="s">
        <v>187</v>
      </c>
      <c r="BQ28" s="0" t="s">
        <v>187</v>
      </c>
      <c r="BR28" s="0" t="s">
        <v>203</v>
      </c>
      <c r="BS28" s="0" t="s">
        <v>288</v>
      </c>
      <c r="BT28" s="0" t="s">
        <v>216</v>
      </c>
      <c r="BU28" s="0" t="s">
        <v>255</v>
      </c>
      <c r="BW28" s="0" t="s">
        <v>206</v>
      </c>
      <c r="BX28" s="0" t="s">
        <v>217</v>
      </c>
      <c r="BY28" s="0" t="n">
        <v>245</v>
      </c>
      <c r="BZ28" s="0" t="n">
        <v>245</v>
      </c>
      <c r="CC28" s="0" t="s">
        <v>289</v>
      </c>
      <c r="CD28" s="0" t="s">
        <v>289</v>
      </c>
      <c r="CE28" s="0" t="s">
        <v>289</v>
      </c>
      <c r="CF28" s="0" t="s">
        <v>211</v>
      </c>
      <c r="CG28" s="0" t="s">
        <v>211</v>
      </c>
      <c r="CH28" s="1" t="n">
        <v>46112</v>
      </c>
      <c r="CI28" s="0" t="n">
        <v>1.2</v>
      </c>
      <c r="CJ28" s="0" t="n">
        <v>2.96</v>
      </c>
      <c r="CK28" s="0" t="n">
        <v>3.11</v>
      </c>
      <c r="CL28" s="0" t="s">
        <v>212</v>
      </c>
      <c r="DA28" s="0" t="n">
        <v>0.61</v>
      </c>
      <c r="DC28" s="0" t="n">
        <v>0.85</v>
      </c>
      <c r="DD28" s="0" t="s">
        <v>212</v>
      </c>
      <c r="ED28" s="0" t="s">
        <v>212</v>
      </c>
      <c r="EE28" s="0" t="n">
        <v>1.05</v>
      </c>
      <c r="EI28" s="0" t="n">
        <v>1.92</v>
      </c>
      <c r="FQ28" s="0" t="n">
        <v>55970958</v>
      </c>
    </row>
    <row r="29" customFormat="false" ht="15" hidden="false" customHeight="false" outlineLevel="0" collapsed="false">
      <c r="B29" s="0" t="str">
        <f aca="false">C29&amp;"x"&amp;I29</f>
        <v>61008x100206</v>
      </c>
      <c r="C29" s="0" t="n">
        <f aca="false">IF(G29="SINGLE",H29,G29)</f>
        <v>61008</v>
      </c>
      <c r="D29" s="0" t="e">
        <f aca="false">_xlfn.XLOOKUP(I29,calculations!$t:$t,calculations!$s:$s)</f>
        <v>#VALUE!</v>
      </c>
      <c r="E29" s="0" t="str">
        <f aca="false">_xlfn.XLOOKUP(I29,Mapping!$T:$T,Mapping!$Q:$Q)</f>
        <v>EMBE05</v>
      </c>
      <c r="F29" s="1" t="n">
        <v>46203</v>
      </c>
      <c r="G29" s="0" t="n">
        <v>61008</v>
      </c>
      <c r="H29" s="0" t="n">
        <v>61008</v>
      </c>
      <c r="I29" s="0" t="n">
        <v>100206</v>
      </c>
      <c r="J29" s="0" t="s">
        <v>290</v>
      </c>
      <c r="K29" s="0" t="s">
        <v>277</v>
      </c>
      <c r="L29" s="0" t="s">
        <v>277</v>
      </c>
      <c r="M29" s="0" t="s">
        <v>184</v>
      </c>
      <c r="N29" s="0" t="n">
        <v>2521000</v>
      </c>
      <c r="O29" s="0" t="n">
        <v>2521000</v>
      </c>
      <c r="P29" s="0" t="s">
        <v>185</v>
      </c>
      <c r="Q29" s="0" t="s">
        <v>227</v>
      </c>
      <c r="R29" s="0" t="s">
        <v>187</v>
      </c>
      <c r="S29" s="0" t="s">
        <v>291</v>
      </c>
      <c r="T29" s="0" t="s">
        <v>189</v>
      </c>
      <c r="U29" s="0" t="s">
        <v>279</v>
      </c>
      <c r="V29" s="0" t="s">
        <v>280</v>
      </c>
      <c r="W29" s="0" t="s">
        <v>281</v>
      </c>
      <c r="X29" s="0" t="s">
        <v>282</v>
      </c>
      <c r="Y29" s="0" t="n">
        <v>8.1</v>
      </c>
      <c r="Z29" s="0" t="s">
        <v>185</v>
      </c>
      <c r="AA29" s="0" t="n">
        <v>1</v>
      </c>
      <c r="AB29" s="0" t="s">
        <v>187</v>
      </c>
      <c r="AC29" s="0" t="n">
        <v>2720000</v>
      </c>
      <c r="AD29" s="0" t="n">
        <v>2720000</v>
      </c>
      <c r="AE29" s="0" t="n">
        <v>2720000</v>
      </c>
      <c r="AF29" s="0" t="n">
        <v>0.9268</v>
      </c>
      <c r="AG29" s="0" t="n">
        <v>2521000</v>
      </c>
      <c r="AH29" s="0" t="n">
        <v>2521000</v>
      </c>
      <c r="AI29" s="0" t="n">
        <v>199000</v>
      </c>
      <c r="AJ29" s="0" t="n">
        <v>2720000</v>
      </c>
      <c r="AK29" s="0" t="n">
        <v>2521000</v>
      </c>
      <c r="AL29" s="0" t="n">
        <v>2521000</v>
      </c>
      <c r="AN29" s="0" t="n">
        <v>4.749</v>
      </c>
      <c r="AO29" s="0" t="n">
        <v>3.493</v>
      </c>
      <c r="AP29" s="0" t="n">
        <v>2.906</v>
      </c>
      <c r="AQ29" s="0" t="n">
        <v>100</v>
      </c>
      <c r="AR29" s="0" t="n">
        <v>100</v>
      </c>
      <c r="AS29" s="1" t="n">
        <v>44791</v>
      </c>
      <c r="AT29" s="1" t="n">
        <v>48809</v>
      </c>
      <c r="AU29" s="1" t="n">
        <v>46295</v>
      </c>
      <c r="AV29" s="0" t="s">
        <v>283</v>
      </c>
      <c r="AW29" s="0" t="s">
        <v>284</v>
      </c>
      <c r="AX29" s="0" t="s">
        <v>187</v>
      </c>
      <c r="AY29" s="0" t="s">
        <v>285</v>
      </c>
      <c r="AZ29" s="0" t="s">
        <v>286</v>
      </c>
      <c r="BA29" s="0" t="s">
        <v>280</v>
      </c>
      <c r="BB29" s="0" t="s">
        <v>284</v>
      </c>
      <c r="BC29" s="0" t="s">
        <v>287</v>
      </c>
      <c r="BI29" s="0" t="n">
        <v>2720000</v>
      </c>
      <c r="BJ29" s="0" t="n">
        <v>2720000</v>
      </c>
      <c r="BK29" s="0" t="s">
        <v>253</v>
      </c>
      <c r="BL29" s="0" t="s">
        <v>201</v>
      </c>
      <c r="BN29" s="0" t="n">
        <v>6.6</v>
      </c>
      <c r="BO29" s="0" t="n">
        <v>7.13</v>
      </c>
      <c r="BP29" s="0" t="s">
        <v>187</v>
      </c>
      <c r="BQ29" s="0" t="s">
        <v>187</v>
      </c>
      <c r="BR29" s="0" t="s">
        <v>203</v>
      </c>
      <c r="BS29" s="0" t="s">
        <v>292</v>
      </c>
      <c r="BT29" s="0" t="s">
        <v>216</v>
      </c>
      <c r="BU29" s="0" t="s">
        <v>220</v>
      </c>
      <c r="BW29" s="0" t="s">
        <v>257</v>
      </c>
      <c r="BX29" s="0" t="s">
        <v>217</v>
      </c>
      <c r="BY29" s="0" t="n">
        <v>245</v>
      </c>
      <c r="BZ29" s="0" t="n">
        <v>245</v>
      </c>
      <c r="CC29" s="0" t="s">
        <v>289</v>
      </c>
      <c r="CD29" s="0" t="s">
        <v>289</v>
      </c>
      <c r="CE29" s="0" t="s">
        <v>289</v>
      </c>
      <c r="CF29" s="0" t="s">
        <v>211</v>
      </c>
      <c r="CG29" s="0" t="s">
        <v>211</v>
      </c>
      <c r="CH29" s="1" t="n">
        <v>46112</v>
      </c>
      <c r="CI29" s="0" t="n">
        <v>1.2</v>
      </c>
      <c r="CJ29" s="0" t="n">
        <v>1.61</v>
      </c>
      <c r="CK29" s="0" t="n">
        <v>1.69</v>
      </c>
      <c r="CL29" s="0" t="s">
        <v>212</v>
      </c>
      <c r="DA29" s="0" t="n">
        <v>0.77</v>
      </c>
      <c r="DC29" s="0" t="n">
        <v>0.85</v>
      </c>
      <c r="DD29" s="0" t="s">
        <v>212</v>
      </c>
      <c r="ED29" s="0" t="s">
        <v>212</v>
      </c>
      <c r="EE29" s="0" t="n">
        <v>1.05</v>
      </c>
      <c r="EI29" s="0" t="n">
        <v>1.8</v>
      </c>
      <c r="FQ29" s="0" t="n">
        <v>47909133</v>
      </c>
    </row>
    <row r="30" customFormat="false" ht="15" hidden="false" customHeight="false" outlineLevel="0" collapsed="false">
      <c r="B30" s="0" t="str">
        <f aca="false">C30&amp;"x"&amp;I30</f>
        <v>61024x100205</v>
      </c>
      <c r="C30" s="0" t="n">
        <f aca="false">IF(G30="SINGLE",H30,G30)</f>
        <v>61024</v>
      </c>
      <c r="D30" s="0" t="e">
        <f aca="false">_xlfn.XLOOKUP(I30,calculations!$t:$t,calculations!$s:$s)</f>
        <v>#VALUE!</v>
      </c>
      <c r="E30" s="0" t="str">
        <f aca="false">_xlfn.XLOOKUP(I30,Mapping!$T:$T,Mapping!$Q:$Q)</f>
        <v>EMBE05</v>
      </c>
      <c r="F30" s="1" t="n">
        <v>46203</v>
      </c>
      <c r="G30" s="0" t="n">
        <v>61024</v>
      </c>
      <c r="H30" s="0" t="n">
        <v>61024</v>
      </c>
      <c r="I30" s="0" t="n">
        <v>100205</v>
      </c>
      <c r="J30" s="0" t="s">
        <v>276</v>
      </c>
      <c r="K30" s="0" t="s">
        <v>183</v>
      </c>
      <c r="L30" s="0" t="s">
        <v>183</v>
      </c>
      <c r="M30" s="0" t="s">
        <v>184</v>
      </c>
      <c r="N30" s="0" t="n">
        <v>11178000</v>
      </c>
      <c r="O30" s="0" t="n">
        <v>11178000</v>
      </c>
      <c r="P30" s="0" t="s">
        <v>185</v>
      </c>
      <c r="Q30" s="0" t="s">
        <v>227</v>
      </c>
      <c r="R30" s="0" t="s">
        <v>187</v>
      </c>
      <c r="S30" s="0" t="s">
        <v>278</v>
      </c>
      <c r="T30" s="0" t="s">
        <v>189</v>
      </c>
      <c r="U30" s="0" t="s">
        <v>279</v>
      </c>
      <c r="V30" s="0" t="s">
        <v>280</v>
      </c>
      <c r="W30" s="0" t="s">
        <v>281</v>
      </c>
      <c r="X30" s="0" t="s">
        <v>282</v>
      </c>
      <c r="Y30" s="0" t="n">
        <v>8.1</v>
      </c>
      <c r="Z30" s="0" t="s">
        <v>185</v>
      </c>
      <c r="AA30" s="0" t="n">
        <v>1</v>
      </c>
      <c r="AB30" s="0" t="s">
        <v>187</v>
      </c>
      <c r="AC30" s="0" t="n">
        <v>12061000</v>
      </c>
      <c r="AD30" s="0" t="n">
        <v>12061000</v>
      </c>
      <c r="AE30" s="0" t="n">
        <v>12061000</v>
      </c>
      <c r="AF30" s="0" t="n">
        <v>0.9268</v>
      </c>
      <c r="AG30" s="0" t="n">
        <v>11178000</v>
      </c>
      <c r="AH30" s="0" t="n">
        <v>11178000</v>
      </c>
      <c r="AI30" s="0" t="n">
        <v>883000</v>
      </c>
      <c r="AJ30" s="0" t="n">
        <v>12061000</v>
      </c>
      <c r="AK30" s="0" t="n">
        <v>11178000</v>
      </c>
      <c r="AL30" s="0" t="n">
        <v>11178000</v>
      </c>
      <c r="AN30" s="0" t="n">
        <v>4.582</v>
      </c>
      <c r="AO30" s="0" t="n">
        <v>5.032</v>
      </c>
      <c r="AP30" s="0" t="n">
        <v>5.288</v>
      </c>
      <c r="AQ30" s="0" t="n">
        <v>100</v>
      </c>
      <c r="AR30" s="0" t="n">
        <v>100</v>
      </c>
      <c r="AS30" s="1" t="n">
        <v>44791</v>
      </c>
      <c r="AT30" s="1" t="n">
        <v>48809</v>
      </c>
      <c r="AU30" s="1" t="n">
        <v>46295</v>
      </c>
      <c r="AV30" s="0" t="s">
        <v>283</v>
      </c>
      <c r="AW30" s="0" t="s">
        <v>284</v>
      </c>
      <c r="AX30" s="0" t="s">
        <v>187</v>
      </c>
      <c r="AY30" s="0" t="s">
        <v>285</v>
      </c>
      <c r="AZ30" s="0" t="s">
        <v>286</v>
      </c>
      <c r="BA30" s="0" t="s">
        <v>280</v>
      </c>
      <c r="BB30" s="0" t="s">
        <v>284</v>
      </c>
      <c r="BC30" s="0" t="s">
        <v>287</v>
      </c>
      <c r="BI30" s="0" t="n">
        <v>12061000</v>
      </c>
      <c r="BJ30" s="0" t="n">
        <v>12061000</v>
      </c>
      <c r="BK30" s="0" t="s">
        <v>253</v>
      </c>
      <c r="BL30" s="0" t="s">
        <v>201</v>
      </c>
      <c r="BN30" s="0" t="n">
        <v>6.6</v>
      </c>
      <c r="BO30" s="0" t="n">
        <v>7.13</v>
      </c>
      <c r="BP30" s="0" t="s">
        <v>187</v>
      </c>
      <c r="BQ30" s="0" t="s">
        <v>187</v>
      </c>
      <c r="BR30" s="0" t="s">
        <v>203</v>
      </c>
      <c r="BS30" s="0" t="s">
        <v>288</v>
      </c>
      <c r="BT30" s="0" t="s">
        <v>216</v>
      </c>
      <c r="BU30" s="0" t="s">
        <v>220</v>
      </c>
      <c r="BW30" s="0" t="s">
        <v>206</v>
      </c>
      <c r="BX30" s="0" t="s">
        <v>217</v>
      </c>
      <c r="BY30" s="0" t="n">
        <v>245</v>
      </c>
      <c r="BZ30" s="0" t="n">
        <v>245</v>
      </c>
      <c r="CC30" s="0" t="s">
        <v>289</v>
      </c>
      <c r="CD30" s="0" t="s">
        <v>289</v>
      </c>
      <c r="CE30" s="0" t="s">
        <v>289</v>
      </c>
      <c r="CF30" s="0" t="s">
        <v>211</v>
      </c>
      <c r="CG30" s="0" t="s">
        <v>211</v>
      </c>
      <c r="CH30" s="1" t="n">
        <v>46112</v>
      </c>
      <c r="CI30" s="0" t="n">
        <v>1.2</v>
      </c>
      <c r="CJ30" s="0" t="n">
        <v>1.48</v>
      </c>
      <c r="CK30" s="0" t="n">
        <v>1.55</v>
      </c>
      <c r="CL30" s="0" t="s">
        <v>212</v>
      </c>
      <c r="DA30" s="0" t="n">
        <v>0.74</v>
      </c>
      <c r="DC30" s="0" t="n">
        <v>0.85</v>
      </c>
      <c r="DD30" s="0" t="s">
        <v>212</v>
      </c>
      <c r="ED30" s="0" t="s">
        <v>212</v>
      </c>
      <c r="EE30" s="0" t="n">
        <v>1.05</v>
      </c>
      <c r="EI30" s="0" t="n">
        <v>1.4</v>
      </c>
      <c r="FQ30" s="0" t="n">
        <v>52538130</v>
      </c>
    </row>
    <row r="31" customFormat="false" ht="15" hidden="false" customHeight="false" outlineLevel="0" collapsed="false">
      <c r="B31" s="0" t="str">
        <f aca="false">C31&amp;"x"&amp;I31</f>
        <v>61024x100206</v>
      </c>
      <c r="C31" s="0" t="n">
        <f aca="false">IF(G31="SINGLE",H31,G31)</f>
        <v>61024</v>
      </c>
      <c r="D31" s="0" t="e">
        <f aca="false">_xlfn.XLOOKUP(I31,calculations!$t:$t,calculations!$s:$s)</f>
        <v>#VALUE!</v>
      </c>
      <c r="E31" s="0" t="str">
        <f aca="false">_xlfn.XLOOKUP(I31,Mapping!$T:$T,Mapping!$Q:$Q)</f>
        <v>EMBE05</v>
      </c>
      <c r="F31" s="1" t="n">
        <v>46203</v>
      </c>
      <c r="G31" s="0" t="n">
        <v>61024</v>
      </c>
      <c r="H31" s="0" t="n">
        <v>61024</v>
      </c>
      <c r="I31" s="0" t="n">
        <v>100206</v>
      </c>
      <c r="J31" s="0" t="s">
        <v>290</v>
      </c>
      <c r="K31" s="0" t="s">
        <v>183</v>
      </c>
      <c r="L31" s="0" t="s">
        <v>183</v>
      </c>
      <c r="M31" s="0" t="s">
        <v>184</v>
      </c>
      <c r="N31" s="0" t="n">
        <v>7453000</v>
      </c>
      <c r="O31" s="0" t="n">
        <v>7453000</v>
      </c>
      <c r="P31" s="0" t="s">
        <v>185</v>
      </c>
      <c r="Q31" s="0" t="s">
        <v>227</v>
      </c>
      <c r="R31" s="0" t="s">
        <v>187</v>
      </c>
      <c r="S31" s="0" t="s">
        <v>291</v>
      </c>
      <c r="T31" s="0" t="s">
        <v>189</v>
      </c>
      <c r="U31" s="0" t="s">
        <v>279</v>
      </c>
      <c r="V31" s="0" t="s">
        <v>280</v>
      </c>
      <c r="W31" s="0" t="s">
        <v>281</v>
      </c>
      <c r="X31" s="0" t="s">
        <v>282</v>
      </c>
      <c r="Y31" s="0" t="n">
        <v>8.1</v>
      </c>
      <c r="Z31" s="0" t="s">
        <v>185</v>
      </c>
      <c r="AA31" s="0" t="n">
        <v>1</v>
      </c>
      <c r="AB31" s="0" t="s">
        <v>187</v>
      </c>
      <c r="AC31" s="0" t="n">
        <v>8041000</v>
      </c>
      <c r="AD31" s="0" t="n">
        <v>8041000</v>
      </c>
      <c r="AE31" s="0" t="n">
        <v>8041000</v>
      </c>
      <c r="AF31" s="0" t="n">
        <v>0.9269</v>
      </c>
      <c r="AG31" s="0" t="n">
        <v>7453000</v>
      </c>
      <c r="AH31" s="0" t="n">
        <v>7453000</v>
      </c>
      <c r="AI31" s="0" t="n">
        <v>588000</v>
      </c>
      <c r="AJ31" s="0" t="n">
        <v>8041000</v>
      </c>
      <c r="AK31" s="0" t="n">
        <v>7453000</v>
      </c>
      <c r="AL31" s="0" t="n">
        <v>7453000</v>
      </c>
      <c r="AN31" s="0" t="n">
        <v>4.139</v>
      </c>
      <c r="AO31" s="0" t="n">
        <v>6.098</v>
      </c>
      <c r="AP31" s="0" t="n">
        <v>5.192</v>
      </c>
      <c r="AQ31" s="0" t="n">
        <v>100</v>
      </c>
      <c r="AR31" s="0" t="n">
        <v>100</v>
      </c>
      <c r="AS31" s="1" t="n">
        <v>44791</v>
      </c>
      <c r="AT31" s="1" t="n">
        <v>48809</v>
      </c>
      <c r="AU31" s="1" t="n">
        <v>46295</v>
      </c>
      <c r="AV31" s="0" t="s">
        <v>283</v>
      </c>
      <c r="AW31" s="0" t="s">
        <v>284</v>
      </c>
      <c r="AX31" s="0" t="s">
        <v>187</v>
      </c>
      <c r="AY31" s="0" t="s">
        <v>285</v>
      </c>
      <c r="AZ31" s="0" t="s">
        <v>286</v>
      </c>
      <c r="BA31" s="0" t="s">
        <v>280</v>
      </c>
      <c r="BB31" s="0" t="s">
        <v>284</v>
      </c>
      <c r="BC31" s="0" t="s">
        <v>287</v>
      </c>
      <c r="BI31" s="0" t="n">
        <v>8041000</v>
      </c>
      <c r="BJ31" s="0" t="n">
        <v>8041000</v>
      </c>
      <c r="BK31" s="0" t="s">
        <v>253</v>
      </c>
      <c r="BL31" s="0" t="s">
        <v>201</v>
      </c>
      <c r="BN31" s="0" t="n">
        <v>6.6</v>
      </c>
      <c r="BO31" s="0" t="n">
        <v>7.13</v>
      </c>
      <c r="BP31" s="0" t="s">
        <v>187</v>
      </c>
      <c r="BQ31" s="0" t="s">
        <v>187</v>
      </c>
      <c r="BR31" s="0" t="s">
        <v>203</v>
      </c>
      <c r="BS31" s="0" t="s">
        <v>292</v>
      </c>
      <c r="BT31" s="0" t="s">
        <v>216</v>
      </c>
      <c r="BU31" s="0" t="s">
        <v>216</v>
      </c>
      <c r="BW31" s="0" t="s">
        <v>257</v>
      </c>
      <c r="BX31" s="0" t="s">
        <v>217</v>
      </c>
      <c r="BY31" s="0" t="n">
        <v>245</v>
      </c>
      <c r="BZ31" s="0" t="n">
        <v>245</v>
      </c>
      <c r="CC31" s="0" t="s">
        <v>289</v>
      </c>
      <c r="CD31" s="0" t="s">
        <v>289</v>
      </c>
      <c r="CE31" s="0" t="s">
        <v>289</v>
      </c>
      <c r="CF31" s="0" t="s">
        <v>211</v>
      </c>
      <c r="CG31" s="0" t="s">
        <v>211</v>
      </c>
      <c r="CH31" s="1" t="n">
        <v>46112</v>
      </c>
      <c r="CI31" s="0" t="n">
        <v>1.2</v>
      </c>
      <c r="CJ31" s="0" t="n">
        <v>3.23</v>
      </c>
      <c r="CK31" s="0" t="n">
        <v>3.39</v>
      </c>
      <c r="CL31" s="0" t="s">
        <v>212</v>
      </c>
      <c r="DA31" s="0" t="n">
        <v>0.66</v>
      </c>
      <c r="DC31" s="0" t="n">
        <v>0.85</v>
      </c>
      <c r="DD31" s="0" t="s">
        <v>212</v>
      </c>
      <c r="ED31" s="0" t="s">
        <v>212</v>
      </c>
      <c r="EE31" s="0" t="n">
        <v>1.05</v>
      </c>
      <c r="EI31" s="0" t="n">
        <v>1.45</v>
      </c>
      <c r="FQ31" s="0" t="n">
        <v>41812265</v>
      </c>
    </row>
    <row r="32" customFormat="false" ht="15" hidden="false" customHeight="false" outlineLevel="0" collapsed="false">
      <c r="B32" s="0" t="str">
        <f aca="false">C32&amp;"x"&amp;I32</f>
        <v>61009x100205</v>
      </c>
      <c r="C32" s="0" t="n">
        <f aca="false">IF(G32="SINGLE",H32,G32)</f>
        <v>61009</v>
      </c>
      <c r="D32" s="0" t="e">
        <f aca="false">_xlfn.XLOOKUP(I32,calculations!$t:$t,calculations!$s:$s)</f>
        <v>#VALUE!</v>
      </c>
      <c r="E32" s="0" t="str">
        <f aca="false">_xlfn.XLOOKUP(I32,Mapping!$T:$T,Mapping!$Q:$Q)</f>
        <v>EMBE05</v>
      </c>
      <c r="F32" s="1" t="n">
        <v>46203</v>
      </c>
      <c r="G32" s="0" t="n">
        <v>61009</v>
      </c>
      <c r="H32" s="0" t="n">
        <v>61009</v>
      </c>
      <c r="I32" s="0" t="n">
        <v>100205</v>
      </c>
      <c r="J32" s="0" t="s">
        <v>276</v>
      </c>
      <c r="K32" s="0" t="s">
        <v>243</v>
      </c>
      <c r="L32" s="0" t="s">
        <v>243</v>
      </c>
      <c r="M32" s="0" t="s">
        <v>184</v>
      </c>
      <c r="N32" s="0" t="n">
        <v>7766000</v>
      </c>
      <c r="O32" s="0" t="n">
        <v>7766000</v>
      </c>
      <c r="P32" s="0" t="s">
        <v>244</v>
      </c>
      <c r="Q32" s="0" t="s">
        <v>227</v>
      </c>
      <c r="R32" s="0" t="s">
        <v>187</v>
      </c>
      <c r="S32" s="0" t="s">
        <v>278</v>
      </c>
      <c r="T32" s="0" t="s">
        <v>189</v>
      </c>
      <c r="U32" s="0" t="s">
        <v>279</v>
      </c>
      <c r="V32" s="0" t="s">
        <v>280</v>
      </c>
      <c r="W32" s="0" t="s">
        <v>281</v>
      </c>
      <c r="X32" s="0" t="s">
        <v>282</v>
      </c>
      <c r="Y32" s="0" t="n">
        <v>8.1</v>
      </c>
      <c r="Z32" s="0" t="s">
        <v>185</v>
      </c>
      <c r="AA32" s="0" t="n">
        <v>1</v>
      </c>
      <c r="AB32" s="0" t="s">
        <v>187</v>
      </c>
      <c r="AC32" s="0" t="n">
        <v>8379000</v>
      </c>
      <c r="AD32" s="0" t="n">
        <v>8379000</v>
      </c>
      <c r="AE32" s="0" t="n">
        <v>8379000</v>
      </c>
      <c r="AF32" s="0" t="n">
        <v>0.9268</v>
      </c>
      <c r="AG32" s="0" t="n">
        <v>7766000</v>
      </c>
      <c r="AH32" s="0" t="n">
        <v>7766000</v>
      </c>
      <c r="AI32" s="0" t="n">
        <v>613000</v>
      </c>
      <c r="AJ32" s="0" t="n">
        <v>8379000</v>
      </c>
      <c r="AK32" s="0" t="n">
        <v>7766000</v>
      </c>
      <c r="AL32" s="0" t="n">
        <v>7766000</v>
      </c>
      <c r="AN32" s="0" t="n">
        <v>3.701</v>
      </c>
      <c r="AO32" s="0" t="n">
        <v>6.063</v>
      </c>
      <c r="AP32" s="0" t="n">
        <v>6.238</v>
      </c>
      <c r="AQ32" s="0" t="n">
        <v>100</v>
      </c>
      <c r="AR32" s="0" t="n">
        <v>100</v>
      </c>
      <c r="AS32" s="1" t="n">
        <v>44791</v>
      </c>
      <c r="AT32" s="1" t="n">
        <v>48809</v>
      </c>
      <c r="AU32" s="1" t="n">
        <v>46295</v>
      </c>
      <c r="AV32" s="0" t="s">
        <v>283</v>
      </c>
      <c r="AW32" s="0" t="s">
        <v>284</v>
      </c>
      <c r="AX32" s="0" t="s">
        <v>187</v>
      </c>
      <c r="AY32" s="0" t="s">
        <v>285</v>
      </c>
      <c r="AZ32" s="0" t="s">
        <v>286</v>
      </c>
      <c r="BA32" s="0" t="s">
        <v>280</v>
      </c>
      <c r="BB32" s="0" t="s">
        <v>284</v>
      </c>
      <c r="BC32" s="0" t="s">
        <v>287</v>
      </c>
      <c r="BI32" s="0" t="n">
        <v>8379000</v>
      </c>
      <c r="BJ32" s="0" t="n">
        <v>8379000</v>
      </c>
      <c r="BK32" s="0" t="s">
        <v>253</v>
      </c>
      <c r="BL32" s="0" t="s">
        <v>201</v>
      </c>
      <c r="BN32" s="0" t="n">
        <v>6.6</v>
      </c>
      <c r="BO32" s="0" t="n">
        <v>7.13</v>
      </c>
      <c r="BP32" s="0" t="s">
        <v>187</v>
      </c>
      <c r="BQ32" s="0" t="s">
        <v>187</v>
      </c>
      <c r="BR32" s="0" t="s">
        <v>203</v>
      </c>
      <c r="BS32" s="0" t="s">
        <v>288</v>
      </c>
      <c r="BT32" s="0" t="s">
        <v>216</v>
      </c>
      <c r="BU32" s="0" t="s">
        <v>205</v>
      </c>
      <c r="BW32" s="0" t="s">
        <v>206</v>
      </c>
      <c r="BX32" s="0" t="s">
        <v>207</v>
      </c>
      <c r="BY32" s="0" t="n">
        <v>245</v>
      </c>
      <c r="BZ32" s="0" t="n">
        <v>245</v>
      </c>
      <c r="CC32" s="0" t="s">
        <v>289</v>
      </c>
      <c r="CD32" s="0" t="s">
        <v>289</v>
      </c>
      <c r="CE32" s="0" t="s">
        <v>289</v>
      </c>
      <c r="CF32" s="0" t="s">
        <v>211</v>
      </c>
      <c r="CG32" s="0" t="s">
        <v>211</v>
      </c>
      <c r="CH32" s="1" t="n">
        <v>46112</v>
      </c>
      <c r="CI32" s="0" t="n">
        <v>1.2</v>
      </c>
      <c r="CJ32" s="0" t="n">
        <v>2.01</v>
      </c>
      <c r="CK32" s="0" t="n">
        <v>2.11</v>
      </c>
      <c r="CL32" s="0" t="s">
        <v>212</v>
      </c>
      <c r="DA32" s="0" t="n">
        <v>0.48</v>
      </c>
      <c r="DC32" s="0" t="n">
        <v>0.85</v>
      </c>
      <c r="DD32" s="0" t="s">
        <v>212</v>
      </c>
      <c r="ED32" s="0" t="s">
        <v>212</v>
      </c>
      <c r="EE32" s="0" t="n">
        <v>1.05</v>
      </c>
      <c r="EI32" s="0" t="n">
        <v>1.53</v>
      </c>
      <c r="FQ32" s="0" t="n">
        <v>62791273</v>
      </c>
    </row>
    <row r="33" customFormat="false" ht="15" hidden="false" customHeight="false" outlineLevel="0" collapsed="false">
      <c r="B33" s="0" t="str">
        <f aca="false">C33&amp;"x"&amp;I33</f>
        <v>61009x100206</v>
      </c>
      <c r="C33" s="0" t="n">
        <f aca="false">IF(G33="SINGLE",H33,G33)</f>
        <v>61009</v>
      </c>
      <c r="D33" s="0" t="e">
        <f aca="false">_xlfn.XLOOKUP(I33,calculations!$t:$t,calculations!$s:$s)</f>
        <v>#VALUE!</v>
      </c>
      <c r="E33" s="0" t="str">
        <f aca="false">_xlfn.XLOOKUP(I33,Mapping!$T:$T,Mapping!$Q:$Q)</f>
        <v>EMBE05</v>
      </c>
      <c r="F33" s="1" t="n">
        <v>46203</v>
      </c>
      <c r="G33" s="0" t="n">
        <v>61009</v>
      </c>
      <c r="H33" s="0" t="n">
        <v>61009</v>
      </c>
      <c r="I33" s="0" t="n">
        <v>100206</v>
      </c>
      <c r="J33" s="0" t="s">
        <v>290</v>
      </c>
      <c r="K33" s="0" t="s">
        <v>243</v>
      </c>
      <c r="L33" s="0" t="s">
        <v>243</v>
      </c>
      <c r="M33" s="0" t="s">
        <v>184</v>
      </c>
      <c r="N33" s="0" t="n">
        <v>5177000</v>
      </c>
      <c r="O33" s="0" t="n">
        <v>5177000</v>
      </c>
      <c r="P33" s="0" t="s">
        <v>244</v>
      </c>
      <c r="Q33" s="0" t="s">
        <v>227</v>
      </c>
      <c r="R33" s="0" t="s">
        <v>187</v>
      </c>
      <c r="S33" s="0" t="s">
        <v>291</v>
      </c>
      <c r="T33" s="0" t="s">
        <v>189</v>
      </c>
      <c r="U33" s="0" t="s">
        <v>279</v>
      </c>
      <c r="V33" s="0" t="s">
        <v>280</v>
      </c>
      <c r="W33" s="0" t="s">
        <v>281</v>
      </c>
      <c r="X33" s="0" t="s">
        <v>282</v>
      </c>
      <c r="Y33" s="0" t="n">
        <v>8.1</v>
      </c>
      <c r="Z33" s="0" t="s">
        <v>185</v>
      </c>
      <c r="AA33" s="0" t="n">
        <v>1</v>
      </c>
      <c r="AB33" s="0" t="s">
        <v>187</v>
      </c>
      <c r="AC33" s="0" t="n">
        <v>5586000</v>
      </c>
      <c r="AD33" s="0" t="n">
        <v>5586000</v>
      </c>
      <c r="AE33" s="0" t="n">
        <v>5586000</v>
      </c>
      <c r="AF33" s="0" t="n">
        <v>0.9268</v>
      </c>
      <c r="AG33" s="0" t="n">
        <v>5177000</v>
      </c>
      <c r="AH33" s="0" t="n">
        <v>5177000</v>
      </c>
      <c r="AI33" s="0" t="n">
        <v>409000</v>
      </c>
      <c r="AJ33" s="0" t="n">
        <v>5586000</v>
      </c>
      <c r="AK33" s="0" t="n">
        <v>5177000</v>
      </c>
      <c r="AL33" s="0" t="n">
        <v>5177000</v>
      </c>
      <c r="AN33" s="0" t="n">
        <v>6.261</v>
      </c>
      <c r="AO33" s="0" t="n">
        <v>4.71</v>
      </c>
      <c r="AP33" s="0" t="n">
        <v>4.891</v>
      </c>
      <c r="AQ33" s="0" t="n">
        <v>100</v>
      </c>
      <c r="AR33" s="0" t="n">
        <v>100</v>
      </c>
      <c r="AS33" s="1" t="n">
        <v>44791</v>
      </c>
      <c r="AT33" s="1" t="n">
        <v>48809</v>
      </c>
      <c r="AU33" s="1" t="n">
        <v>46295</v>
      </c>
      <c r="AV33" s="0" t="s">
        <v>283</v>
      </c>
      <c r="AW33" s="0" t="s">
        <v>284</v>
      </c>
      <c r="AX33" s="0" t="s">
        <v>187</v>
      </c>
      <c r="AY33" s="0" t="s">
        <v>285</v>
      </c>
      <c r="AZ33" s="0" t="s">
        <v>286</v>
      </c>
      <c r="BA33" s="0" t="s">
        <v>280</v>
      </c>
      <c r="BB33" s="0" t="s">
        <v>284</v>
      </c>
      <c r="BC33" s="0" t="s">
        <v>287</v>
      </c>
      <c r="BI33" s="0" t="n">
        <v>5586000</v>
      </c>
      <c r="BJ33" s="0" t="n">
        <v>5586000</v>
      </c>
      <c r="BK33" s="0" t="s">
        <v>253</v>
      </c>
      <c r="BL33" s="0" t="s">
        <v>201</v>
      </c>
      <c r="BN33" s="0" t="n">
        <v>6.6</v>
      </c>
      <c r="BO33" s="0" t="n">
        <v>7.13</v>
      </c>
      <c r="BP33" s="0" t="s">
        <v>187</v>
      </c>
      <c r="BQ33" s="0" t="s">
        <v>187</v>
      </c>
      <c r="BR33" s="0" t="s">
        <v>203</v>
      </c>
      <c r="BS33" s="0" t="s">
        <v>292</v>
      </c>
      <c r="BT33" s="0" t="s">
        <v>216</v>
      </c>
      <c r="BU33" s="0" t="s">
        <v>205</v>
      </c>
      <c r="BW33" s="0" t="s">
        <v>257</v>
      </c>
      <c r="BX33" s="0" t="s">
        <v>207</v>
      </c>
      <c r="BY33" s="0" t="n">
        <v>245</v>
      </c>
      <c r="BZ33" s="0" t="n">
        <v>245</v>
      </c>
      <c r="CC33" s="0" t="s">
        <v>289</v>
      </c>
      <c r="CD33" s="0" t="s">
        <v>289</v>
      </c>
      <c r="CE33" s="0" t="s">
        <v>289</v>
      </c>
      <c r="CF33" s="0" t="s">
        <v>211</v>
      </c>
      <c r="CG33" s="0" t="s">
        <v>211</v>
      </c>
      <c r="CH33" s="1" t="n">
        <v>46112</v>
      </c>
      <c r="CI33" s="0" t="n">
        <v>1.2</v>
      </c>
      <c r="CJ33" s="0" t="n">
        <v>1.99</v>
      </c>
      <c r="CK33" s="0" t="n">
        <v>2.09</v>
      </c>
      <c r="CL33" s="0" t="s">
        <v>212</v>
      </c>
      <c r="DA33" s="0" t="n">
        <v>0.8</v>
      </c>
      <c r="DC33" s="0" t="n">
        <v>0.85</v>
      </c>
      <c r="DD33" s="0" t="s">
        <v>213</v>
      </c>
      <c r="ED33" s="0" t="s">
        <v>212</v>
      </c>
      <c r="EE33" s="0" t="n">
        <v>1.05</v>
      </c>
      <c r="EI33" s="0" t="n">
        <v>1.24</v>
      </c>
      <c r="FQ33" s="0" t="n">
        <v>58878026</v>
      </c>
    </row>
    <row r="34" customFormat="false" ht="15" hidden="false" customHeight="false" outlineLevel="0" collapsed="false">
      <c r="B34" s="0" t="str">
        <f aca="false">C34&amp;"x"&amp;I34</f>
        <v>61020x100205</v>
      </c>
      <c r="C34" s="0" t="n">
        <f aca="false">IF(G34="SINGLE",H34,G34)</f>
        <v>61020</v>
      </c>
      <c r="D34" s="0" t="e">
        <f aca="false">_xlfn.XLOOKUP(I34,calculations!$t:$t,calculations!$s:$s)</f>
        <v>#VALUE!</v>
      </c>
      <c r="E34" s="0" t="str">
        <f aca="false">_xlfn.XLOOKUP(I34,Mapping!$T:$T,Mapping!$Q:$Q)</f>
        <v>EMBE05</v>
      </c>
      <c r="F34" s="1" t="n">
        <v>46203</v>
      </c>
      <c r="G34" s="0" t="n">
        <v>61020</v>
      </c>
      <c r="H34" s="0" t="n">
        <v>61020</v>
      </c>
      <c r="I34" s="0" t="n">
        <v>100205</v>
      </c>
      <c r="J34" s="0" t="s">
        <v>276</v>
      </c>
      <c r="K34" s="0" t="s">
        <v>293</v>
      </c>
      <c r="L34" s="0" t="s">
        <v>293</v>
      </c>
      <c r="M34" s="0" t="s">
        <v>184</v>
      </c>
      <c r="N34" s="0" t="n">
        <v>10737000</v>
      </c>
      <c r="O34" s="0" t="n">
        <v>10737000</v>
      </c>
      <c r="P34" s="0" t="s">
        <v>185</v>
      </c>
      <c r="Q34" s="0" t="s">
        <v>227</v>
      </c>
      <c r="R34" s="0" t="s">
        <v>187</v>
      </c>
      <c r="S34" s="0" t="s">
        <v>278</v>
      </c>
      <c r="T34" s="0" t="s">
        <v>189</v>
      </c>
      <c r="U34" s="0" t="s">
        <v>279</v>
      </c>
      <c r="V34" s="0" t="s">
        <v>280</v>
      </c>
      <c r="W34" s="0" t="s">
        <v>281</v>
      </c>
      <c r="X34" s="0" t="s">
        <v>282</v>
      </c>
      <c r="Y34" s="0" t="n">
        <v>8.1</v>
      </c>
      <c r="Z34" s="0" t="s">
        <v>185</v>
      </c>
      <c r="AA34" s="0" t="n">
        <v>1</v>
      </c>
      <c r="AB34" s="0" t="s">
        <v>187</v>
      </c>
      <c r="AC34" s="0" t="n">
        <v>11585000</v>
      </c>
      <c r="AD34" s="0" t="n">
        <v>11585000</v>
      </c>
      <c r="AE34" s="0" t="n">
        <v>11585000</v>
      </c>
      <c r="AF34" s="0" t="n">
        <v>0.9268</v>
      </c>
      <c r="AG34" s="0" t="n">
        <v>10737000</v>
      </c>
      <c r="AH34" s="0" t="n">
        <v>10737000</v>
      </c>
      <c r="AI34" s="0" t="n">
        <v>848000</v>
      </c>
      <c r="AJ34" s="0" t="n">
        <v>11585000</v>
      </c>
      <c r="AK34" s="0" t="n">
        <v>10737000</v>
      </c>
      <c r="AL34" s="0" t="n">
        <v>10737000</v>
      </c>
      <c r="AN34" s="0" t="n">
        <v>3.255</v>
      </c>
      <c r="AO34" s="0" t="n">
        <v>3.346</v>
      </c>
      <c r="AP34" s="0" t="n">
        <v>3.63</v>
      </c>
      <c r="AQ34" s="0" t="n">
        <v>100</v>
      </c>
      <c r="AR34" s="0" t="n">
        <v>100</v>
      </c>
      <c r="AS34" s="1" t="n">
        <v>44791</v>
      </c>
      <c r="AT34" s="1" t="n">
        <v>48809</v>
      </c>
      <c r="AU34" s="1" t="n">
        <v>46295</v>
      </c>
      <c r="AV34" s="0" t="s">
        <v>283</v>
      </c>
      <c r="AW34" s="0" t="s">
        <v>284</v>
      </c>
      <c r="AX34" s="0" t="s">
        <v>187</v>
      </c>
      <c r="AY34" s="0" t="s">
        <v>285</v>
      </c>
      <c r="AZ34" s="0" t="s">
        <v>286</v>
      </c>
      <c r="BA34" s="0" t="s">
        <v>280</v>
      </c>
      <c r="BB34" s="0" t="s">
        <v>284</v>
      </c>
      <c r="BC34" s="0" t="s">
        <v>287</v>
      </c>
      <c r="BI34" s="0" t="n">
        <v>11585000</v>
      </c>
      <c r="BJ34" s="0" t="n">
        <v>11585000</v>
      </c>
      <c r="BK34" s="0" t="s">
        <v>253</v>
      </c>
      <c r="BL34" s="0" t="s">
        <v>201</v>
      </c>
      <c r="BN34" s="0" t="n">
        <v>6.6</v>
      </c>
      <c r="BO34" s="0" t="n">
        <v>7.13</v>
      </c>
      <c r="BP34" s="0" t="s">
        <v>187</v>
      </c>
      <c r="BQ34" s="0" t="s">
        <v>187</v>
      </c>
      <c r="BR34" s="0" t="s">
        <v>203</v>
      </c>
      <c r="BS34" s="0" t="s">
        <v>288</v>
      </c>
      <c r="BT34" s="0" t="s">
        <v>216</v>
      </c>
      <c r="BU34" s="0" t="s">
        <v>269</v>
      </c>
      <c r="BW34" s="0" t="s">
        <v>206</v>
      </c>
      <c r="BX34" s="0" t="s">
        <v>217</v>
      </c>
      <c r="BY34" s="0" t="n">
        <v>245</v>
      </c>
      <c r="BZ34" s="0" t="n">
        <v>245</v>
      </c>
      <c r="CC34" s="0" t="s">
        <v>289</v>
      </c>
      <c r="CD34" s="0" t="s">
        <v>289</v>
      </c>
      <c r="CE34" s="0" t="s">
        <v>289</v>
      </c>
      <c r="CF34" s="0" t="s">
        <v>211</v>
      </c>
      <c r="CG34" s="0" t="s">
        <v>211</v>
      </c>
      <c r="CH34" s="1" t="n">
        <v>46112</v>
      </c>
      <c r="CI34" s="0" t="n">
        <v>1.2</v>
      </c>
      <c r="CJ34" s="0" t="n">
        <v>2.15</v>
      </c>
      <c r="CK34" s="0" t="n">
        <v>2.26</v>
      </c>
      <c r="CL34" s="0" t="s">
        <v>212</v>
      </c>
      <c r="DA34" s="0" t="n">
        <v>0.68</v>
      </c>
      <c r="DC34" s="0" t="n">
        <v>0.85</v>
      </c>
      <c r="DD34" s="0" t="s">
        <v>212</v>
      </c>
      <c r="ED34" s="0" t="s">
        <v>212</v>
      </c>
      <c r="EE34" s="0" t="n">
        <v>1.05</v>
      </c>
      <c r="EI34" s="0" t="n">
        <v>1.62</v>
      </c>
      <c r="FQ34" s="0" t="n">
        <v>51923120</v>
      </c>
    </row>
    <row r="35" customFormat="false" ht="15" hidden="false" customHeight="false" outlineLevel="0" collapsed="false">
      <c r="B35" s="0" t="str">
        <f aca="false">C35&amp;"x"&amp;I35</f>
        <v>61020x100206</v>
      </c>
      <c r="C35" s="0" t="n">
        <f aca="false">IF(G35="SINGLE",H35,G35)</f>
        <v>61020</v>
      </c>
      <c r="D35" s="0" t="e">
        <f aca="false">_xlfn.XLOOKUP(I35,calculations!$t:$t,calculations!$s:$s)</f>
        <v>#VALUE!</v>
      </c>
      <c r="E35" s="0" t="str">
        <f aca="false">_xlfn.XLOOKUP(I35,Mapping!$T:$T,Mapping!$Q:$Q)</f>
        <v>EMBE05</v>
      </c>
      <c r="F35" s="1" t="n">
        <v>46203</v>
      </c>
      <c r="G35" s="0" t="n">
        <v>61020</v>
      </c>
      <c r="H35" s="0" t="n">
        <v>61020</v>
      </c>
      <c r="I35" s="0" t="n">
        <v>100206</v>
      </c>
      <c r="J35" s="0" t="s">
        <v>290</v>
      </c>
      <c r="K35" s="0" t="s">
        <v>293</v>
      </c>
      <c r="L35" s="0" t="s">
        <v>293</v>
      </c>
      <c r="M35" s="0" t="s">
        <v>184</v>
      </c>
      <c r="N35" s="0" t="n">
        <v>7159000</v>
      </c>
      <c r="O35" s="0" t="n">
        <v>7159000</v>
      </c>
      <c r="P35" s="0" t="s">
        <v>185</v>
      </c>
      <c r="Q35" s="0" t="s">
        <v>227</v>
      </c>
      <c r="R35" s="0" t="s">
        <v>187</v>
      </c>
      <c r="S35" s="0" t="s">
        <v>291</v>
      </c>
      <c r="T35" s="0" t="s">
        <v>189</v>
      </c>
      <c r="U35" s="0" t="s">
        <v>279</v>
      </c>
      <c r="V35" s="0" t="s">
        <v>280</v>
      </c>
      <c r="W35" s="0" t="s">
        <v>281</v>
      </c>
      <c r="X35" s="0" t="s">
        <v>282</v>
      </c>
      <c r="Y35" s="0" t="n">
        <v>8.1</v>
      </c>
      <c r="Z35" s="0" t="s">
        <v>185</v>
      </c>
      <c r="AA35" s="0" t="n">
        <v>1</v>
      </c>
      <c r="AB35" s="0" t="s">
        <v>187</v>
      </c>
      <c r="AC35" s="0" t="n">
        <v>7724000</v>
      </c>
      <c r="AD35" s="0" t="n">
        <v>7724000</v>
      </c>
      <c r="AE35" s="0" t="n">
        <v>7724000</v>
      </c>
      <c r="AF35" s="0" t="n">
        <v>0.9269</v>
      </c>
      <c r="AG35" s="0" t="n">
        <v>7159000</v>
      </c>
      <c r="AH35" s="0" t="n">
        <v>7159000</v>
      </c>
      <c r="AI35" s="0" t="n">
        <v>565000</v>
      </c>
      <c r="AJ35" s="0" t="n">
        <v>7724000</v>
      </c>
      <c r="AK35" s="0" t="n">
        <v>7159000</v>
      </c>
      <c r="AL35" s="0" t="n">
        <v>7159000</v>
      </c>
      <c r="AN35" s="0" t="n">
        <v>4.236</v>
      </c>
      <c r="AO35" s="0" t="n">
        <v>4.879</v>
      </c>
      <c r="AP35" s="0" t="n">
        <v>6.35</v>
      </c>
      <c r="AQ35" s="0" t="n">
        <v>100</v>
      </c>
      <c r="AR35" s="0" t="n">
        <v>100</v>
      </c>
      <c r="AS35" s="1" t="n">
        <v>44791</v>
      </c>
      <c r="AT35" s="1" t="n">
        <v>48809</v>
      </c>
      <c r="AU35" s="1" t="n">
        <v>46295</v>
      </c>
      <c r="AV35" s="0" t="s">
        <v>283</v>
      </c>
      <c r="AW35" s="0" t="s">
        <v>284</v>
      </c>
      <c r="AX35" s="0" t="s">
        <v>187</v>
      </c>
      <c r="AY35" s="0" t="s">
        <v>285</v>
      </c>
      <c r="AZ35" s="0" t="s">
        <v>286</v>
      </c>
      <c r="BA35" s="0" t="s">
        <v>280</v>
      </c>
      <c r="BB35" s="0" t="s">
        <v>284</v>
      </c>
      <c r="BC35" s="0" t="s">
        <v>287</v>
      </c>
      <c r="BI35" s="0" t="n">
        <v>7724000</v>
      </c>
      <c r="BJ35" s="0" t="n">
        <v>7724000</v>
      </c>
      <c r="BK35" s="0" t="s">
        <v>253</v>
      </c>
      <c r="BL35" s="0" t="s">
        <v>201</v>
      </c>
      <c r="BN35" s="0" t="n">
        <v>6.6</v>
      </c>
      <c r="BO35" s="0" t="n">
        <v>7.13</v>
      </c>
      <c r="BP35" s="0" t="s">
        <v>187</v>
      </c>
      <c r="BQ35" s="0" t="s">
        <v>187</v>
      </c>
      <c r="BR35" s="0" t="s">
        <v>203</v>
      </c>
      <c r="BS35" s="0" t="s">
        <v>292</v>
      </c>
      <c r="BT35" s="0" t="s">
        <v>216</v>
      </c>
      <c r="BU35" s="0" t="s">
        <v>205</v>
      </c>
      <c r="BW35" s="0" t="s">
        <v>257</v>
      </c>
      <c r="BX35" s="0" t="s">
        <v>217</v>
      </c>
      <c r="BY35" s="0" t="n">
        <v>245</v>
      </c>
      <c r="BZ35" s="0" t="n">
        <v>245</v>
      </c>
      <c r="CC35" s="0" t="s">
        <v>289</v>
      </c>
      <c r="CD35" s="0" t="s">
        <v>289</v>
      </c>
      <c r="CE35" s="0" t="s">
        <v>289</v>
      </c>
      <c r="CF35" s="0" t="s">
        <v>211</v>
      </c>
      <c r="CG35" s="0" t="s">
        <v>211</v>
      </c>
      <c r="CH35" s="1" t="n">
        <v>46112</v>
      </c>
      <c r="CI35" s="0" t="n">
        <v>1.2</v>
      </c>
      <c r="CJ35" s="0" t="n">
        <v>3.25</v>
      </c>
      <c r="CK35" s="0" t="n">
        <v>3.41</v>
      </c>
      <c r="CL35" s="0" t="s">
        <v>212</v>
      </c>
      <c r="DA35" s="0" t="n">
        <v>0.56</v>
      </c>
      <c r="DC35" s="0" t="n">
        <v>0.85</v>
      </c>
      <c r="DD35" s="0" t="s">
        <v>212</v>
      </c>
      <c r="ED35" s="0" t="s">
        <v>212</v>
      </c>
      <c r="EE35" s="0" t="n">
        <v>1.05</v>
      </c>
      <c r="EI35" s="0" t="n">
        <v>1.42</v>
      </c>
      <c r="FQ35" s="0" t="n">
        <v>44094114</v>
      </c>
    </row>
    <row r="36" customFormat="false" ht="15" hidden="false" customHeight="false" outlineLevel="0" collapsed="false">
      <c r="B36" s="0" t="str">
        <f aca="false">C36&amp;"x"&amp;I36</f>
        <v>61022x100205</v>
      </c>
      <c r="C36" s="0" t="n">
        <f aca="false">IF(G36="SINGLE",H36,G36)</f>
        <v>61022</v>
      </c>
      <c r="D36" s="0" t="e">
        <f aca="false">_xlfn.XLOOKUP(I36,calculations!$t:$t,calculations!$s:$s)</f>
        <v>#VALUE!</v>
      </c>
      <c r="E36" s="0" t="str">
        <f aca="false">_xlfn.XLOOKUP(I36,Mapping!$T:$T,Mapping!$Q:$Q)</f>
        <v>EMBE05</v>
      </c>
      <c r="F36" s="1" t="n">
        <v>46203</v>
      </c>
      <c r="G36" s="0" t="n">
        <v>61022</v>
      </c>
      <c r="H36" s="0" t="n">
        <v>61022</v>
      </c>
      <c r="I36" s="0" t="n">
        <v>100205</v>
      </c>
      <c r="J36" s="0" t="s">
        <v>276</v>
      </c>
      <c r="K36" s="0" t="s">
        <v>273</v>
      </c>
      <c r="L36" s="0" t="s">
        <v>273</v>
      </c>
      <c r="M36" s="0" t="s">
        <v>184</v>
      </c>
      <c r="N36" s="0" t="n">
        <v>8496000</v>
      </c>
      <c r="O36" s="0" t="n">
        <v>8496000</v>
      </c>
      <c r="P36" s="0" t="s">
        <v>185</v>
      </c>
      <c r="Q36" s="0" t="s">
        <v>227</v>
      </c>
      <c r="R36" s="0" t="s">
        <v>187</v>
      </c>
      <c r="S36" s="0" t="s">
        <v>278</v>
      </c>
      <c r="T36" s="0" t="s">
        <v>189</v>
      </c>
      <c r="U36" s="0" t="s">
        <v>279</v>
      </c>
      <c r="V36" s="0" t="s">
        <v>280</v>
      </c>
      <c r="W36" s="0" t="s">
        <v>281</v>
      </c>
      <c r="X36" s="0" t="s">
        <v>282</v>
      </c>
      <c r="Y36" s="0" t="n">
        <v>8.1</v>
      </c>
      <c r="Z36" s="0" t="s">
        <v>185</v>
      </c>
      <c r="AA36" s="0" t="n">
        <v>1</v>
      </c>
      <c r="AB36" s="0" t="s">
        <v>187</v>
      </c>
      <c r="AC36" s="0" t="n">
        <v>9167000</v>
      </c>
      <c r="AD36" s="0" t="n">
        <v>9167000</v>
      </c>
      <c r="AE36" s="0" t="n">
        <v>9167000</v>
      </c>
      <c r="AF36" s="0" t="n">
        <v>0.9268</v>
      </c>
      <c r="AG36" s="0" t="n">
        <v>8496000</v>
      </c>
      <c r="AH36" s="0" t="n">
        <v>8496000</v>
      </c>
      <c r="AI36" s="0" t="n">
        <v>671000</v>
      </c>
      <c r="AJ36" s="0" t="n">
        <v>9167000</v>
      </c>
      <c r="AK36" s="0" t="n">
        <v>8496000</v>
      </c>
      <c r="AL36" s="0" t="n">
        <v>8496000</v>
      </c>
      <c r="AN36" s="0" t="n">
        <v>3.407</v>
      </c>
      <c r="AO36" s="0" t="n">
        <v>5.367</v>
      </c>
      <c r="AP36" s="0" t="n">
        <v>5.723</v>
      </c>
      <c r="AQ36" s="0" t="n">
        <v>100</v>
      </c>
      <c r="AR36" s="0" t="n">
        <v>100</v>
      </c>
      <c r="AS36" s="1" t="n">
        <v>44791</v>
      </c>
      <c r="AT36" s="1" t="n">
        <v>48809</v>
      </c>
      <c r="AU36" s="1" t="n">
        <v>46295</v>
      </c>
      <c r="AV36" s="0" t="s">
        <v>283</v>
      </c>
      <c r="AW36" s="0" t="s">
        <v>284</v>
      </c>
      <c r="AX36" s="0" t="s">
        <v>187</v>
      </c>
      <c r="AY36" s="0" t="s">
        <v>285</v>
      </c>
      <c r="AZ36" s="0" t="s">
        <v>286</v>
      </c>
      <c r="BA36" s="0" t="s">
        <v>280</v>
      </c>
      <c r="BB36" s="0" t="s">
        <v>284</v>
      </c>
      <c r="BC36" s="0" t="s">
        <v>287</v>
      </c>
      <c r="BI36" s="0" t="n">
        <v>9167000</v>
      </c>
      <c r="BJ36" s="0" t="n">
        <v>9167000</v>
      </c>
      <c r="BK36" s="0" t="s">
        <v>253</v>
      </c>
      <c r="BL36" s="0" t="s">
        <v>201</v>
      </c>
      <c r="BN36" s="0" t="n">
        <v>6.6</v>
      </c>
      <c r="BO36" s="0" t="n">
        <v>7.13</v>
      </c>
      <c r="BP36" s="0" t="s">
        <v>187</v>
      </c>
      <c r="BQ36" s="0" t="s">
        <v>187</v>
      </c>
      <c r="BR36" s="0" t="s">
        <v>203</v>
      </c>
      <c r="BS36" s="0" t="s">
        <v>288</v>
      </c>
      <c r="BT36" s="0" t="s">
        <v>216</v>
      </c>
      <c r="BU36" s="0" t="s">
        <v>205</v>
      </c>
      <c r="BW36" s="0" t="s">
        <v>257</v>
      </c>
      <c r="BX36" s="0" t="s">
        <v>207</v>
      </c>
      <c r="BY36" s="0" t="n">
        <v>245</v>
      </c>
      <c r="BZ36" s="0" t="n">
        <v>245</v>
      </c>
      <c r="CC36" s="0" t="s">
        <v>289</v>
      </c>
      <c r="CD36" s="0" t="s">
        <v>289</v>
      </c>
      <c r="CE36" s="0" t="s">
        <v>289</v>
      </c>
      <c r="CF36" s="0" t="s">
        <v>211</v>
      </c>
      <c r="CG36" s="0" t="s">
        <v>211</v>
      </c>
      <c r="CH36" s="1" t="n">
        <v>46112</v>
      </c>
      <c r="CI36" s="0" t="n">
        <v>1.2</v>
      </c>
      <c r="CJ36" s="0" t="n">
        <v>1.79</v>
      </c>
      <c r="CK36" s="0" t="n">
        <v>1.88</v>
      </c>
      <c r="CL36" s="0" t="s">
        <v>212</v>
      </c>
      <c r="DA36" s="0" t="n">
        <v>0.68</v>
      </c>
      <c r="DC36" s="0" t="n">
        <v>0.85</v>
      </c>
      <c r="DD36" s="0" t="s">
        <v>212</v>
      </c>
      <c r="ED36" s="0" t="s">
        <v>212</v>
      </c>
      <c r="EE36" s="0" t="n">
        <v>1.05</v>
      </c>
      <c r="EI36" s="0" t="n">
        <v>1.64</v>
      </c>
      <c r="FQ36" s="0" t="n">
        <v>44121240</v>
      </c>
    </row>
    <row r="37" customFormat="false" ht="15" hidden="false" customHeight="false" outlineLevel="0" collapsed="false">
      <c r="B37" s="0" t="str">
        <f aca="false">C37&amp;"x"&amp;I37</f>
        <v>61022x100206</v>
      </c>
      <c r="C37" s="0" t="n">
        <f aca="false">IF(G37="SINGLE",H37,G37)</f>
        <v>61022</v>
      </c>
      <c r="D37" s="0" t="e">
        <f aca="false">_xlfn.XLOOKUP(I37,calculations!$t:$t,calculations!$s:$s)</f>
        <v>#VALUE!</v>
      </c>
      <c r="E37" s="0" t="str">
        <f aca="false">_xlfn.XLOOKUP(I37,Mapping!$T:$T,Mapping!$Q:$Q)</f>
        <v>EMBE05</v>
      </c>
      <c r="F37" s="1" t="n">
        <v>46203</v>
      </c>
      <c r="G37" s="0" t="n">
        <v>61022</v>
      </c>
      <c r="H37" s="0" t="n">
        <v>61022</v>
      </c>
      <c r="I37" s="0" t="n">
        <v>100206</v>
      </c>
      <c r="J37" s="0" t="s">
        <v>290</v>
      </c>
      <c r="K37" s="0" t="s">
        <v>273</v>
      </c>
      <c r="L37" s="0" t="s">
        <v>273</v>
      </c>
      <c r="M37" s="0" t="s">
        <v>184</v>
      </c>
      <c r="N37" s="0" t="n">
        <v>5664000</v>
      </c>
      <c r="O37" s="0" t="n">
        <v>5664000</v>
      </c>
      <c r="P37" s="0" t="s">
        <v>185</v>
      </c>
      <c r="Q37" s="0" t="s">
        <v>227</v>
      </c>
      <c r="R37" s="0" t="s">
        <v>187</v>
      </c>
      <c r="S37" s="0" t="s">
        <v>291</v>
      </c>
      <c r="T37" s="0" t="s">
        <v>189</v>
      </c>
      <c r="U37" s="0" t="s">
        <v>279</v>
      </c>
      <c r="V37" s="0" t="s">
        <v>280</v>
      </c>
      <c r="W37" s="0" t="s">
        <v>281</v>
      </c>
      <c r="X37" s="0" t="s">
        <v>282</v>
      </c>
      <c r="Y37" s="0" t="n">
        <v>8.1</v>
      </c>
      <c r="Z37" s="0" t="s">
        <v>185</v>
      </c>
      <c r="AA37" s="0" t="n">
        <v>1</v>
      </c>
      <c r="AB37" s="0" t="s">
        <v>187</v>
      </c>
      <c r="AC37" s="0" t="n">
        <v>6111000</v>
      </c>
      <c r="AD37" s="0" t="n">
        <v>6111000</v>
      </c>
      <c r="AE37" s="0" t="n">
        <v>6111000</v>
      </c>
      <c r="AF37" s="0" t="n">
        <v>0.9269</v>
      </c>
      <c r="AG37" s="0" t="n">
        <v>5664000</v>
      </c>
      <c r="AH37" s="0" t="n">
        <v>5664000</v>
      </c>
      <c r="AI37" s="0" t="n">
        <v>447000</v>
      </c>
      <c r="AJ37" s="0" t="n">
        <v>6111000</v>
      </c>
      <c r="AK37" s="0" t="n">
        <v>5664000</v>
      </c>
      <c r="AL37" s="0" t="n">
        <v>5664000</v>
      </c>
      <c r="AN37" s="0" t="n">
        <v>6.179</v>
      </c>
      <c r="AO37" s="0" t="n">
        <v>4.477</v>
      </c>
      <c r="AP37" s="0" t="n">
        <v>5.506</v>
      </c>
      <c r="AQ37" s="0" t="n">
        <v>100</v>
      </c>
      <c r="AR37" s="0" t="n">
        <v>100</v>
      </c>
      <c r="AS37" s="1" t="n">
        <v>44791</v>
      </c>
      <c r="AT37" s="1" t="n">
        <v>48809</v>
      </c>
      <c r="AU37" s="1" t="n">
        <v>46295</v>
      </c>
      <c r="AV37" s="0" t="s">
        <v>283</v>
      </c>
      <c r="AW37" s="0" t="s">
        <v>284</v>
      </c>
      <c r="AX37" s="0" t="s">
        <v>187</v>
      </c>
      <c r="AY37" s="0" t="s">
        <v>285</v>
      </c>
      <c r="AZ37" s="0" t="s">
        <v>286</v>
      </c>
      <c r="BA37" s="0" t="s">
        <v>280</v>
      </c>
      <c r="BB37" s="0" t="s">
        <v>284</v>
      </c>
      <c r="BC37" s="0" t="s">
        <v>287</v>
      </c>
      <c r="BI37" s="0" t="n">
        <v>6111000</v>
      </c>
      <c r="BJ37" s="0" t="n">
        <v>6111000</v>
      </c>
      <c r="BK37" s="0" t="s">
        <v>253</v>
      </c>
      <c r="BL37" s="0" t="s">
        <v>201</v>
      </c>
      <c r="BN37" s="0" t="n">
        <v>6.6</v>
      </c>
      <c r="BO37" s="0" t="n">
        <v>7.13</v>
      </c>
      <c r="BP37" s="0" t="s">
        <v>187</v>
      </c>
      <c r="BQ37" s="0" t="s">
        <v>187</v>
      </c>
      <c r="BR37" s="0" t="s">
        <v>203</v>
      </c>
      <c r="BS37" s="0" t="s">
        <v>292</v>
      </c>
      <c r="BT37" s="0" t="s">
        <v>216</v>
      </c>
      <c r="BU37" s="0" t="s">
        <v>220</v>
      </c>
      <c r="BW37" s="0" t="s">
        <v>206</v>
      </c>
      <c r="BX37" s="0" t="s">
        <v>217</v>
      </c>
      <c r="BY37" s="0" t="n">
        <v>245</v>
      </c>
      <c r="BZ37" s="0" t="n">
        <v>245</v>
      </c>
      <c r="CC37" s="0" t="s">
        <v>289</v>
      </c>
      <c r="CD37" s="0" t="s">
        <v>289</v>
      </c>
      <c r="CE37" s="0" t="s">
        <v>289</v>
      </c>
      <c r="CF37" s="0" t="s">
        <v>211</v>
      </c>
      <c r="CG37" s="0" t="s">
        <v>211</v>
      </c>
      <c r="CH37" s="1" t="n">
        <v>46112</v>
      </c>
      <c r="CI37" s="0" t="n">
        <v>1.2</v>
      </c>
      <c r="CJ37" s="0" t="n">
        <v>2.15</v>
      </c>
      <c r="CK37" s="0" t="n">
        <v>2.26</v>
      </c>
      <c r="CL37" s="0" t="s">
        <v>212</v>
      </c>
      <c r="DA37" s="0" t="n">
        <v>0.72</v>
      </c>
      <c r="DC37" s="0" t="n">
        <v>0.85</v>
      </c>
      <c r="DD37" s="0" t="s">
        <v>212</v>
      </c>
      <c r="ED37" s="0" t="s">
        <v>212</v>
      </c>
      <c r="EE37" s="0" t="n">
        <v>1.05</v>
      </c>
      <c r="EI37" s="0" t="n">
        <v>1.76</v>
      </c>
      <c r="FQ37" s="0" t="n">
        <v>44462059</v>
      </c>
    </row>
    <row r="38" customFormat="false" ht="15" hidden="false" customHeight="false" outlineLevel="0" collapsed="false">
      <c r="B38" s="0" t="str">
        <f aca="false">C38&amp;"x"&amp;I38</f>
        <v>61005x100205</v>
      </c>
      <c r="C38" s="0" t="n">
        <f aca="false">IF(G38="SINGLE",H38,G38)</f>
        <v>61005</v>
      </c>
      <c r="D38" s="0" t="e">
        <f aca="false">_xlfn.XLOOKUP(I38,calculations!$t:$t,calculations!$s:$s)</f>
        <v>#VALUE!</v>
      </c>
      <c r="E38" s="0" t="str">
        <f aca="false">_xlfn.XLOOKUP(I38,Mapping!$T:$T,Mapping!$Q:$Q)</f>
        <v>EMBE05</v>
      </c>
      <c r="F38" s="1" t="n">
        <v>46203</v>
      </c>
      <c r="G38" s="0" t="n">
        <v>61005</v>
      </c>
      <c r="H38" s="0" t="n">
        <v>61005</v>
      </c>
      <c r="I38" s="0" t="n">
        <v>100205</v>
      </c>
      <c r="J38" s="0" t="s">
        <v>276</v>
      </c>
      <c r="K38" s="0" t="s">
        <v>275</v>
      </c>
      <c r="L38" s="0" t="s">
        <v>275</v>
      </c>
      <c r="M38" s="0" t="s">
        <v>184</v>
      </c>
      <c r="N38" s="0" t="n">
        <v>7900000</v>
      </c>
      <c r="O38" s="0" t="n">
        <v>7900000</v>
      </c>
      <c r="P38" s="0" t="s">
        <v>185</v>
      </c>
      <c r="Q38" s="0" t="s">
        <v>227</v>
      </c>
      <c r="R38" s="0" t="s">
        <v>187</v>
      </c>
      <c r="S38" s="0" t="s">
        <v>278</v>
      </c>
      <c r="T38" s="0" t="s">
        <v>189</v>
      </c>
      <c r="U38" s="0" t="s">
        <v>279</v>
      </c>
      <c r="V38" s="0" t="s">
        <v>280</v>
      </c>
      <c r="W38" s="0" t="s">
        <v>281</v>
      </c>
      <c r="X38" s="0" t="s">
        <v>282</v>
      </c>
      <c r="Y38" s="0" t="n">
        <v>8.1</v>
      </c>
      <c r="Z38" s="0" t="s">
        <v>185</v>
      </c>
      <c r="AA38" s="0" t="n">
        <v>1</v>
      </c>
      <c r="AB38" s="0" t="s">
        <v>187</v>
      </c>
      <c r="AC38" s="0" t="n">
        <v>8524000</v>
      </c>
      <c r="AD38" s="0" t="n">
        <v>8524000</v>
      </c>
      <c r="AE38" s="0" t="n">
        <v>8524000</v>
      </c>
      <c r="AF38" s="0" t="n">
        <v>0.9268</v>
      </c>
      <c r="AG38" s="0" t="n">
        <v>7900000</v>
      </c>
      <c r="AH38" s="0" t="n">
        <v>7900000</v>
      </c>
      <c r="AI38" s="0" t="n">
        <v>624000</v>
      </c>
      <c r="AJ38" s="0" t="n">
        <v>8524000</v>
      </c>
      <c r="AK38" s="0" t="n">
        <v>7900000</v>
      </c>
      <c r="AL38" s="0" t="n">
        <v>7900000</v>
      </c>
      <c r="AN38" s="0" t="n">
        <v>5.686</v>
      </c>
      <c r="AO38" s="0" t="n">
        <v>3.423</v>
      </c>
      <c r="AP38" s="0" t="n">
        <v>3.438</v>
      </c>
      <c r="AQ38" s="0" t="n">
        <v>100</v>
      </c>
      <c r="AR38" s="0" t="n">
        <v>100</v>
      </c>
      <c r="AS38" s="1" t="n">
        <v>44791</v>
      </c>
      <c r="AT38" s="1" t="n">
        <v>48809</v>
      </c>
      <c r="AU38" s="1" t="n">
        <v>46295</v>
      </c>
      <c r="AV38" s="0" t="s">
        <v>283</v>
      </c>
      <c r="AW38" s="0" t="s">
        <v>284</v>
      </c>
      <c r="AX38" s="0" t="s">
        <v>187</v>
      </c>
      <c r="AY38" s="0" t="s">
        <v>285</v>
      </c>
      <c r="AZ38" s="0" t="s">
        <v>286</v>
      </c>
      <c r="BA38" s="0" t="s">
        <v>280</v>
      </c>
      <c r="BB38" s="0" t="s">
        <v>284</v>
      </c>
      <c r="BC38" s="0" t="s">
        <v>287</v>
      </c>
      <c r="BI38" s="0" t="n">
        <v>8524000</v>
      </c>
      <c r="BJ38" s="0" t="n">
        <v>8524000</v>
      </c>
      <c r="BK38" s="0" t="s">
        <v>253</v>
      </c>
      <c r="BL38" s="0" t="s">
        <v>201</v>
      </c>
      <c r="BN38" s="0" t="n">
        <v>6.6</v>
      </c>
      <c r="BO38" s="0" t="n">
        <v>7.13</v>
      </c>
      <c r="BP38" s="0" t="s">
        <v>187</v>
      </c>
      <c r="BQ38" s="0" t="s">
        <v>187</v>
      </c>
      <c r="BR38" s="0" t="s">
        <v>203</v>
      </c>
      <c r="BS38" s="0" t="s">
        <v>288</v>
      </c>
      <c r="BT38" s="0" t="s">
        <v>216</v>
      </c>
      <c r="BU38" s="0" t="s">
        <v>269</v>
      </c>
      <c r="BW38" s="0" t="s">
        <v>257</v>
      </c>
      <c r="BX38" s="0" t="s">
        <v>217</v>
      </c>
      <c r="BY38" s="0" t="n">
        <v>245</v>
      </c>
      <c r="BZ38" s="0" t="n">
        <v>245</v>
      </c>
      <c r="CC38" s="0" t="s">
        <v>289</v>
      </c>
      <c r="CD38" s="0" t="s">
        <v>289</v>
      </c>
      <c r="CE38" s="0" t="s">
        <v>289</v>
      </c>
      <c r="CF38" s="0" t="s">
        <v>211</v>
      </c>
      <c r="CG38" s="0" t="s">
        <v>211</v>
      </c>
      <c r="CH38" s="1" t="n">
        <v>46112</v>
      </c>
      <c r="CI38" s="0" t="n">
        <v>1.2</v>
      </c>
      <c r="CJ38" s="0" t="n">
        <v>3.26</v>
      </c>
      <c r="CK38" s="0" t="n">
        <v>3.42</v>
      </c>
      <c r="CL38" s="0" t="s">
        <v>212</v>
      </c>
      <c r="DA38" s="0" t="n">
        <v>0.57</v>
      </c>
      <c r="DC38" s="0" t="n">
        <v>0.85</v>
      </c>
      <c r="DD38" s="0" t="s">
        <v>212</v>
      </c>
      <c r="ED38" s="0" t="s">
        <v>212</v>
      </c>
      <c r="EE38" s="0" t="n">
        <v>1.05</v>
      </c>
      <c r="EI38" s="0" t="n">
        <v>1.85</v>
      </c>
      <c r="FQ38" s="0" t="n">
        <v>50737516</v>
      </c>
    </row>
    <row r="39" customFormat="false" ht="15" hidden="false" customHeight="false" outlineLevel="0" collapsed="false">
      <c r="B39" s="0" t="str">
        <f aca="false">C39&amp;"x"&amp;I39</f>
        <v>61005x100206</v>
      </c>
      <c r="C39" s="0" t="n">
        <f aca="false">IF(G39="SINGLE",H39,G39)</f>
        <v>61005</v>
      </c>
      <c r="D39" s="0" t="e">
        <f aca="false">_xlfn.XLOOKUP(I39,calculations!$t:$t,calculations!$s:$s)</f>
        <v>#VALUE!</v>
      </c>
      <c r="E39" s="0" t="str">
        <f aca="false">_xlfn.XLOOKUP(I39,Mapping!$T:$T,Mapping!$Q:$Q)</f>
        <v>EMBE05</v>
      </c>
      <c r="F39" s="1" t="n">
        <v>46203</v>
      </c>
      <c r="G39" s="0" t="n">
        <v>61005</v>
      </c>
      <c r="H39" s="0" t="n">
        <v>61005</v>
      </c>
      <c r="I39" s="0" t="n">
        <v>100206</v>
      </c>
      <c r="J39" s="0" t="s">
        <v>290</v>
      </c>
      <c r="K39" s="0" t="s">
        <v>275</v>
      </c>
      <c r="L39" s="0" t="s">
        <v>275</v>
      </c>
      <c r="M39" s="0" t="s">
        <v>184</v>
      </c>
      <c r="N39" s="0" t="n">
        <v>5267000</v>
      </c>
      <c r="O39" s="0" t="n">
        <v>5267000</v>
      </c>
      <c r="P39" s="0" t="s">
        <v>185</v>
      </c>
      <c r="Q39" s="0" t="s">
        <v>227</v>
      </c>
      <c r="R39" s="0" t="s">
        <v>187</v>
      </c>
      <c r="S39" s="0" t="s">
        <v>291</v>
      </c>
      <c r="T39" s="0" t="s">
        <v>189</v>
      </c>
      <c r="U39" s="0" t="s">
        <v>279</v>
      </c>
      <c r="V39" s="0" t="s">
        <v>280</v>
      </c>
      <c r="W39" s="0" t="s">
        <v>281</v>
      </c>
      <c r="X39" s="0" t="s">
        <v>282</v>
      </c>
      <c r="Y39" s="0" t="n">
        <v>8.1</v>
      </c>
      <c r="Z39" s="0" t="s">
        <v>185</v>
      </c>
      <c r="AA39" s="0" t="n">
        <v>1</v>
      </c>
      <c r="AB39" s="0" t="s">
        <v>187</v>
      </c>
      <c r="AC39" s="0" t="n">
        <v>5683000</v>
      </c>
      <c r="AD39" s="0" t="n">
        <v>5683000</v>
      </c>
      <c r="AE39" s="0" t="n">
        <v>5683000</v>
      </c>
      <c r="AF39" s="0" t="n">
        <v>0.9268</v>
      </c>
      <c r="AG39" s="0" t="n">
        <v>5267000</v>
      </c>
      <c r="AH39" s="0" t="n">
        <v>5267000</v>
      </c>
      <c r="AI39" s="0" t="n">
        <v>416000</v>
      </c>
      <c r="AJ39" s="0" t="n">
        <v>5683000</v>
      </c>
      <c r="AK39" s="0" t="n">
        <v>5267000</v>
      </c>
      <c r="AL39" s="0" t="n">
        <v>5267000</v>
      </c>
      <c r="AN39" s="0" t="n">
        <v>4.278</v>
      </c>
      <c r="AO39" s="0" t="n">
        <v>3.432</v>
      </c>
      <c r="AP39" s="0" t="n">
        <v>5.278</v>
      </c>
      <c r="AQ39" s="0" t="n">
        <v>100</v>
      </c>
      <c r="AR39" s="0" t="n">
        <v>100</v>
      </c>
      <c r="AS39" s="1" t="n">
        <v>44791</v>
      </c>
      <c r="AT39" s="1" t="n">
        <v>48809</v>
      </c>
      <c r="AU39" s="1" t="n">
        <v>46295</v>
      </c>
      <c r="AV39" s="0" t="s">
        <v>283</v>
      </c>
      <c r="AW39" s="0" t="s">
        <v>284</v>
      </c>
      <c r="AX39" s="0" t="s">
        <v>187</v>
      </c>
      <c r="AY39" s="0" t="s">
        <v>285</v>
      </c>
      <c r="AZ39" s="0" t="s">
        <v>286</v>
      </c>
      <c r="BA39" s="0" t="s">
        <v>280</v>
      </c>
      <c r="BB39" s="0" t="s">
        <v>284</v>
      </c>
      <c r="BC39" s="0" t="s">
        <v>287</v>
      </c>
      <c r="BI39" s="0" t="n">
        <v>5683000</v>
      </c>
      <c r="BJ39" s="0" t="n">
        <v>5683000</v>
      </c>
      <c r="BK39" s="0" t="s">
        <v>253</v>
      </c>
      <c r="BL39" s="0" t="s">
        <v>201</v>
      </c>
      <c r="BN39" s="0" t="n">
        <v>6.6</v>
      </c>
      <c r="BO39" s="0" t="n">
        <v>7.13</v>
      </c>
      <c r="BP39" s="0" t="s">
        <v>187</v>
      </c>
      <c r="BQ39" s="0" t="s">
        <v>187</v>
      </c>
      <c r="BR39" s="0" t="s">
        <v>203</v>
      </c>
      <c r="BS39" s="0" t="s">
        <v>292</v>
      </c>
      <c r="BT39" s="0" t="s">
        <v>216</v>
      </c>
      <c r="BU39" s="0" t="s">
        <v>205</v>
      </c>
      <c r="BW39" s="0" t="s">
        <v>206</v>
      </c>
      <c r="BX39" s="0" t="s">
        <v>217</v>
      </c>
      <c r="BY39" s="0" t="n">
        <v>245</v>
      </c>
      <c r="BZ39" s="0" t="n">
        <v>245</v>
      </c>
      <c r="CC39" s="0" t="s">
        <v>289</v>
      </c>
      <c r="CD39" s="0" t="s">
        <v>289</v>
      </c>
      <c r="CE39" s="0" t="s">
        <v>289</v>
      </c>
      <c r="CF39" s="0" t="s">
        <v>211</v>
      </c>
      <c r="CG39" s="0" t="s">
        <v>211</v>
      </c>
      <c r="CH39" s="1" t="n">
        <v>46112</v>
      </c>
      <c r="CI39" s="0" t="n">
        <v>1.2</v>
      </c>
      <c r="CJ39" s="0" t="n">
        <v>2.12</v>
      </c>
      <c r="CK39" s="0" t="n">
        <v>2.23</v>
      </c>
      <c r="CL39" s="0" t="s">
        <v>212</v>
      </c>
      <c r="DA39" s="0" t="n">
        <v>0.59</v>
      </c>
      <c r="DC39" s="0" t="n">
        <v>0.85</v>
      </c>
      <c r="DD39" s="0" t="s">
        <v>212</v>
      </c>
      <c r="ED39" s="0" t="s">
        <v>212</v>
      </c>
      <c r="EE39" s="0" t="n">
        <v>1.05</v>
      </c>
      <c r="EI39" s="0" t="n">
        <v>1.51</v>
      </c>
      <c r="FQ39" s="0" t="n">
        <v>45818448</v>
      </c>
    </row>
    <row r="40" customFormat="false" ht="15" hidden="false" customHeight="false" outlineLevel="0" collapsed="false">
      <c r="B40" s="0" t="str">
        <f aca="false">C40&amp;"x"&amp;I40</f>
        <v>61003x100207</v>
      </c>
      <c r="C40" s="0" t="n">
        <f aca="false">IF(G40="SINGLE",H40,G40)</f>
        <v>61003</v>
      </c>
      <c r="D40" s="0" t="e">
        <f aca="false">_xlfn.XLOOKUP(I40,calculations!$t:$t,calculations!$s:$s)</f>
        <v>#VALUE!</v>
      </c>
      <c r="E40" s="0" t="str">
        <f aca="false">_xlfn.XLOOKUP(I40,Mapping!$T:$T,Mapping!$Q:$Q)</f>
        <v>FALC06</v>
      </c>
      <c r="F40" s="1" t="n">
        <v>46203</v>
      </c>
      <c r="G40" s="0" t="n">
        <v>61003</v>
      </c>
      <c r="H40" s="0" t="n">
        <v>61003</v>
      </c>
      <c r="I40" s="0" t="n">
        <v>100207</v>
      </c>
      <c r="J40" s="0" t="s">
        <v>294</v>
      </c>
      <c r="K40" s="0" t="s">
        <v>226</v>
      </c>
      <c r="L40" s="0" t="s">
        <v>226</v>
      </c>
      <c r="M40" s="0" t="s">
        <v>184</v>
      </c>
      <c r="N40" s="0" t="n">
        <v>23405000</v>
      </c>
      <c r="O40" s="0" t="n">
        <v>27374269.01</v>
      </c>
      <c r="P40" s="0" t="s">
        <v>185</v>
      </c>
      <c r="Q40" s="0" t="s">
        <v>186</v>
      </c>
      <c r="R40" s="0" t="s">
        <v>202</v>
      </c>
      <c r="S40" s="0" t="s">
        <v>295</v>
      </c>
      <c r="T40" s="0" t="s">
        <v>189</v>
      </c>
      <c r="U40" s="0" t="s">
        <v>229</v>
      </c>
      <c r="V40" s="0" t="s">
        <v>230</v>
      </c>
      <c r="W40" s="0" t="s">
        <v>296</v>
      </c>
      <c r="X40" s="0" t="s">
        <v>297</v>
      </c>
      <c r="Y40" s="0" t="n">
        <v>10.6</v>
      </c>
      <c r="Z40" s="0" t="s">
        <v>219</v>
      </c>
      <c r="AA40" s="0" t="n">
        <v>0.855</v>
      </c>
      <c r="AB40" s="0" t="s">
        <v>202</v>
      </c>
      <c r="AC40" s="0" t="n">
        <v>24564000</v>
      </c>
      <c r="AD40" s="0" t="n">
        <v>24564000</v>
      </c>
      <c r="AE40" s="0" t="n">
        <v>28729824.56</v>
      </c>
      <c r="AF40" s="0" t="n">
        <v>0.9528</v>
      </c>
      <c r="AG40" s="0" t="n">
        <v>23405000</v>
      </c>
      <c r="AH40" s="0" t="n">
        <v>23405000</v>
      </c>
      <c r="AI40" s="0" t="n">
        <v>1159000</v>
      </c>
      <c r="AJ40" s="0" t="n">
        <v>24564000</v>
      </c>
      <c r="AK40" s="0" t="n">
        <v>23405000</v>
      </c>
      <c r="AL40" s="0" t="n">
        <v>23405000</v>
      </c>
      <c r="AM40" s="0" t="s">
        <v>194</v>
      </c>
      <c r="AN40" s="0" t="n">
        <v>2.564</v>
      </c>
      <c r="AO40" s="0" t="n">
        <v>6.433</v>
      </c>
      <c r="AP40" s="0" t="n">
        <v>6.369</v>
      </c>
      <c r="AQ40" s="0" t="n">
        <v>100</v>
      </c>
      <c r="AR40" s="0" t="n">
        <v>100</v>
      </c>
      <c r="AS40" s="1" t="n">
        <v>45246</v>
      </c>
      <c r="AT40" s="1" t="n">
        <v>51456</v>
      </c>
      <c r="AU40" s="1" t="n">
        <v>46295</v>
      </c>
      <c r="AV40" s="0" t="s">
        <v>298</v>
      </c>
      <c r="AW40" s="0" t="s">
        <v>299</v>
      </c>
      <c r="AX40" s="0" t="s">
        <v>187</v>
      </c>
      <c r="AY40" s="0" t="s">
        <v>300</v>
      </c>
      <c r="AZ40" s="0" t="s">
        <v>301</v>
      </c>
      <c r="BA40" s="0" t="s">
        <v>230</v>
      </c>
      <c r="BB40" s="0" t="s">
        <v>299</v>
      </c>
      <c r="BC40" s="0" t="s">
        <v>302</v>
      </c>
      <c r="BI40" s="0" t="n">
        <v>24564000</v>
      </c>
      <c r="BJ40" s="0" t="n">
        <v>28729824.56</v>
      </c>
      <c r="BK40" s="0" t="s">
        <v>200</v>
      </c>
      <c r="BL40" s="0" t="s">
        <v>201</v>
      </c>
      <c r="BN40" s="0" t="n">
        <v>10.2</v>
      </c>
      <c r="BO40" s="0" t="n">
        <v>14.38</v>
      </c>
      <c r="BP40" s="0" t="s">
        <v>202</v>
      </c>
      <c r="BQ40" s="0" t="s">
        <v>202</v>
      </c>
      <c r="BR40" s="0" t="s">
        <v>203</v>
      </c>
      <c r="BS40" s="0" t="s">
        <v>303</v>
      </c>
      <c r="BT40" s="0" t="s">
        <v>220</v>
      </c>
      <c r="BU40" s="0" t="s">
        <v>269</v>
      </c>
      <c r="BW40" s="0" t="s">
        <v>206</v>
      </c>
      <c r="BX40" s="0" t="s">
        <v>207</v>
      </c>
      <c r="BY40" s="0" t="n">
        <v>255</v>
      </c>
      <c r="BZ40" s="0" t="n">
        <v>255</v>
      </c>
      <c r="CB40" s="0" t="s">
        <v>208</v>
      </c>
      <c r="CC40" s="0" t="s">
        <v>209</v>
      </c>
      <c r="CD40" s="0" t="s">
        <v>209</v>
      </c>
      <c r="CE40" s="0" t="s">
        <v>210</v>
      </c>
      <c r="CF40" s="0" t="s">
        <v>211</v>
      </c>
      <c r="CG40" s="0" t="s">
        <v>304</v>
      </c>
      <c r="CH40" s="1" t="n">
        <v>46112</v>
      </c>
      <c r="CI40" s="0" t="n">
        <v>1.2</v>
      </c>
      <c r="CJ40" s="0" t="n">
        <v>2.4</v>
      </c>
      <c r="CK40" s="0" t="n">
        <v>2.52</v>
      </c>
      <c r="CL40" s="0" t="s">
        <v>212</v>
      </c>
      <c r="DA40" s="0" t="n">
        <v>0.45</v>
      </c>
      <c r="DC40" s="0" t="n">
        <v>0.85</v>
      </c>
      <c r="DD40" s="0" t="s">
        <v>212</v>
      </c>
      <c r="ED40" s="0" t="s">
        <v>212</v>
      </c>
      <c r="EE40" s="0" t="n">
        <v>1.05</v>
      </c>
      <c r="EI40" s="0" t="n">
        <v>1.94</v>
      </c>
      <c r="FQ40" s="0" t="n">
        <v>11531835</v>
      </c>
    </row>
    <row r="41" customFormat="false" ht="15" hidden="false" customHeight="false" outlineLevel="0" collapsed="false">
      <c r="B41" s="0" t="str">
        <f aca="false">C41&amp;"x"&amp;I41</f>
        <v>61015x100207</v>
      </c>
      <c r="C41" s="0" t="n">
        <f aca="false">IF(G41="SINGLE",H41,G41)</f>
        <v>61015</v>
      </c>
      <c r="D41" s="0" t="e">
        <f aca="false">_xlfn.XLOOKUP(I41,calculations!$t:$t,calculations!$s:$s)</f>
        <v>#VALUE!</v>
      </c>
      <c r="E41" s="0" t="str">
        <f aca="false">_xlfn.XLOOKUP(I41,Mapping!$T:$T,Mapping!$Q:$Q)</f>
        <v>FALC06</v>
      </c>
      <c r="F41" s="1" t="n">
        <v>46203</v>
      </c>
      <c r="G41" s="0" t="n">
        <v>61015</v>
      </c>
      <c r="H41" s="0" t="n">
        <v>61015</v>
      </c>
      <c r="I41" s="0" t="n">
        <v>100207</v>
      </c>
      <c r="J41" s="0" t="s">
        <v>294</v>
      </c>
      <c r="K41" s="0" t="s">
        <v>215</v>
      </c>
      <c r="L41" s="0" t="s">
        <v>215</v>
      </c>
      <c r="M41" s="0" t="s">
        <v>184</v>
      </c>
      <c r="N41" s="0" t="n">
        <v>15106000</v>
      </c>
      <c r="O41" s="0" t="n">
        <v>17667836.26</v>
      </c>
      <c r="P41" s="0" t="s">
        <v>185</v>
      </c>
      <c r="Q41" s="0" t="s">
        <v>186</v>
      </c>
      <c r="R41" s="0" t="s">
        <v>202</v>
      </c>
      <c r="S41" s="0" t="s">
        <v>295</v>
      </c>
      <c r="T41" s="0" t="s">
        <v>189</v>
      </c>
      <c r="U41" s="0" t="s">
        <v>229</v>
      </c>
      <c r="V41" s="0" t="s">
        <v>230</v>
      </c>
      <c r="W41" s="0" t="s">
        <v>296</v>
      </c>
      <c r="X41" s="0" t="s">
        <v>297</v>
      </c>
      <c r="Y41" s="0" t="n">
        <v>10.6</v>
      </c>
      <c r="Z41" s="0" t="s">
        <v>219</v>
      </c>
      <c r="AA41" s="0" t="n">
        <v>0.855</v>
      </c>
      <c r="AB41" s="0" t="s">
        <v>202</v>
      </c>
      <c r="AC41" s="0" t="n">
        <v>15854000</v>
      </c>
      <c r="AD41" s="0" t="n">
        <v>15854000</v>
      </c>
      <c r="AE41" s="0" t="n">
        <v>18542690.06</v>
      </c>
      <c r="AF41" s="0" t="n">
        <v>0.9528</v>
      </c>
      <c r="AG41" s="0" t="n">
        <v>15106000</v>
      </c>
      <c r="AH41" s="0" t="n">
        <v>15106000</v>
      </c>
      <c r="AI41" s="0" t="n">
        <v>748000</v>
      </c>
      <c r="AJ41" s="0" t="n">
        <v>15854000</v>
      </c>
      <c r="AK41" s="0" t="n">
        <v>15106000</v>
      </c>
      <c r="AL41" s="0" t="n">
        <v>15106000</v>
      </c>
      <c r="AM41" s="0" t="s">
        <v>194</v>
      </c>
      <c r="AN41" s="0" t="n">
        <v>6.262</v>
      </c>
      <c r="AO41" s="0" t="n">
        <v>2.776</v>
      </c>
      <c r="AP41" s="0" t="n">
        <v>5.614</v>
      </c>
      <c r="AQ41" s="0" t="n">
        <v>100</v>
      </c>
      <c r="AR41" s="0" t="n">
        <v>100</v>
      </c>
      <c r="AS41" s="1" t="n">
        <v>45246</v>
      </c>
      <c r="AT41" s="1" t="n">
        <v>51456</v>
      </c>
      <c r="AU41" s="1" t="n">
        <v>46295</v>
      </c>
      <c r="AV41" s="0" t="s">
        <v>298</v>
      </c>
      <c r="AW41" s="0" t="s">
        <v>299</v>
      </c>
      <c r="AX41" s="0" t="s">
        <v>187</v>
      </c>
      <c r="AY41" s="0" t="s">
        <v>300</v>
      </c>
      <c r="AZ41" s="0" t="s">
        <v>301</v>
      </c>
      <c r="BA41" s="0" t="s">
        <v>230</v>
      </c>
      <c r="BB41" s="0" t="s">
        <v>299</v>
      </c>
      <c r="BC41" s="0" t="s">
        <v>302</v>
      </c>
      <c r="BI41" s="0" t="n">
        <v>15854000</v>
      </c>
      <c r="BJ41" s="0" t="n">
        <v>18542690.06</v>
      </c>
      <c r="BK41" s="0" t="s">
        <v>200</v>
      </c>
      <c r="BL41" s="0" t="s">
        <v>201</v>
      </c>
      <c r="BN41" s="0" t="n">
        <v>10.2</v>
      </c>
      <c r="BO41" s="0" t="n">
        <v>14.38</v>
      </c>
      <c r="BP41" s="0" t="s">
        <v>202</v>
      </c>
      <c r="BQ41" s="0" t="s">
        <v>202</v>
      </c>
      <c r="BR41" s="0" t="s">
        <v>203</v>
      </c>
      <c r="BS41" s="0" t="s">
        <v>303</v>
      </c>
      <c r="BT41" s="0" t="s">
        <v>220</v>
      </c>
      <c r="BU41" s="0" t="s">
        <v>216</v>
      </c>
      <c r="BW41" s="0" t="s">
        <v>206</v>
      </c>
      <c r="BX41" s="0" t="s">
        <v>207</v>
      </c>
      <c r="BY41" s="0" t="n">
        <v>255</v>
      </c>
      <c r="BZ41" s="0" t="n">
        <v>255</v>
      </c>
      <c r="CB41" s="0" t="s">
        <v>208</v>
      </c>
      <c r="CC41" s="0" t="s">
        <v>209</v>
      </c>
      <c r="CD41" s="0" t="s">
        <v>209</v>
      </c>
      <c r="CE41" s="0" t="s">
        <v>210</v>
      </c>
      <c r="CF41" s="0" t="s">
        <v>211</v>
      </c>
      <c r="CG41" s="0" t="s">
        <v>304</v>
      </c>
      <c r="CH41" s="1" t="n">
        <v>46112</v>
      </c>
      <c r="CI41" s="0" t="n">
        <v>1.2</v>
      </c>
      <c r="CJ41" s="0" t="n">
        <v>2.5</v>
      </c>
      <c r="CK41" s="0" t="n">
        <v>2.63</v>
      </c>
      <c r="CL41" s="0" t="s">
        <v>212</v>
      </c>
      <c r="DA41" s="0" t="n">
        <v>0.54</v>
      </c>
      <c r="DC41" s="0" t="n">
        <v>0.85</v>
      </c>
      <c r="DD41" s="0" t="s">
        <v>212</v>
      </c>
      <c r="ED41" s="0" t="s">
        <v>212</v>
      </c>
      <c r="EE41" s="0" t="n">
        <v>1.05</v>
      </c>
      <c r="EI41" s="0" t="n">
        <v>1.29</v>
      </c>
      <c r="FQ41" s="0" t="n">
        <v>17538903</v>
      </c>
    </row>
    <row r="42" customFormat="false" ht="15" hidden="false" customHeight="false" outlineLevel="0" collapsed="false">
      <c r="B42" s="0" t="str">
        <f aca="false">C42&amp;"x"&amp;I42</f>
        <v>61019x100207</v>
      </c>
      <c r="C42" s="0" t="n">
        <f aca="false">IF(G42="SINGLE",H42,G42)</f>
        <v>61019</v>
      </c>
      <c r="D42" s="0" t="e">
        <f aca="false">_xlfn.XLOOKUP(I42,calculations!$t:$t,calculations!$s:$s)</f>
        <v>#VALUE!</v>
      </c>
      <c r="E42" s="0" t="str">
        <f aca="false">_xlfn.XLOOKUP(I42,Mapping!$T:$T,Mapping!$Q:$Q)</f>
        <v>FALC06</v>
      </c>
      <c r="F42" s="1" t="n">
        <v>46203</v>
      </c>
      <c r="G42" s="0" t="n">
        <v>61019</v>
      </c>
      <c r="H42" s="0" t="n">
        <v>61019</v>
      </c>
      <c r="I42" s="0" t="n">
        <v>100207</v>
      </c>
      <c r="J42" s="0" t="s">
        <v>294</v>
      </c>
      <c r="K42" s="0" t="s">
        <v>223</v>
      </c>
      <c r="L42" s="0" t="s">
        <v>223</v>
      </c>
      <c r="M42" s="0" t="s">
        <v>184</v>
      </c>
      <c r="N42" s="0" t="n">
        <v>13357000</v>
      </c>
      <c r="O42" s="0" t="n">
        <v>15622222.22</v>
      </c>
      <c r="P42" s="0" t="s">
        <v>185</v>
      </c>
      <c r="Q42" s="0" t="s">
        <v>186</v>
      </c>
      <c r="R42" s="0" t="s">
        <v>202</v>
      </c>
      <c r="S42" s="0" t="s">
        <v>295</v>
      </c>
      <c r="T42" s="0" t="s">
        <v>189</v>
      </c>
      <c r="U42" s="0" t="s">
        <v>229</v>
      </c>
      <c r="V42" s="0" t="s">
        <v>230</v>
      </c>
      <c r="W42" s="0" t="s">
        <v>296</v>
      </c>
      <c r="X42" s="0" t="s">
        <v>297</v>
      </c>
      <c r="Y42" s="0" t="n">
        <v>10.6</v>
      </c>
      <c r="Z42" s="0" t="s">
        <v>219</v>
      </c>
      <c r="AA42" s="0" t="n">
        <v>0.855</v>
      </c>
      <c r="AB42" s="0" t="s">
        <v>202</v>
      </c>
      <c r="AC42" s="0" t="n">
        <v>14019000</v>
      </c>
      <c r="AD42" s="0" t="n">
        <v>14019000</v>
      </c>
      <c r="AE42" s="0" t="n">
        <v>16396491.23</v>
      </c>
      <c r="AF42" s="0" t="n">
        <v>0.9528</v>
      </c>
      <c r="AG42" s="0" t="n">
        <v>13357000</v>
      </c>
      <c r="AH42" s="0" t="n">
        <v>13357000</v>
      </c>
      <c r="AI42" s="0" t="n">
        <v>662000</v>
      </c>
      <c r="AJ42" s="0" t="n">
        <v>14019000</v>
      </c>
      <c r="AK42" s="0" t="n">
        <v>13357000</v>
      </c>
      <c r="AL42" s="0" t="n">
        <v>13357000</v>
      </c>
      <c r="AM42" s="0" t="s">
        <v>194</v>
      </c>
      <c r="AN42" s="0" t="n">
        <v>6.147</v>
      </c>
      <c r="AO42" s="0" t="n">
        <v>3.883</v>
      </c>
      <c r="AP42" s="0" t="n">
        <v>3.477</v>
      </c>
      <c r="AQ42" s="0" t="n">
        <v>100</v>
      </c>
      <c r="AR42" s="0" t="n">
        <v>100</v>
      </c>
      <c r="AS42" s="1" t="n">
        <v>45246</v>
      </c>
      <c r="AT42" s="1" t="n">
        <v>51456</v>
      </c>
      <c r="AU42" s="1" t="n">
        <v>46295</v>
      </c>
      <c r="AV42" s="0" t="s">
        <v>298</v>
      </c>
      <c r="AW42" s="0" t="s">
        <v>299</v>
      </c>
      <c r="AX42" s="0" t="s">
        <v>187</v>
      </c>
      <c r="AY42" s="0" t="s">
        <v>300</v>
      </c>
      <c r="AZ42" s="0" t="s">
        <v>301</v>
      </c>
      <c r="BA42" s="0" t="s">
        <v>230</v>
      </c>
      <c r="BB42" s="0" t="s">
        <v>299</v>
      </c>
      <c r="BC42" s="0" t="s">
        <v>302</v>
      </c>
      <c r="BI42" s="0" t="n">
        <v>14019000</v>
      </c>
      <c r="BJ42" s="0" t="n">
        <v>16396491.23</v>
      </c>
      <c r="BK42" s="0" t="s">
        <v>200</v>
      </c>
      <c r="BL42" s="0" t="s">
        <v>201</v>
      </c>
      <c r="BN42" s="0" t="n">
        <v>10.2</v>
      </c>
      <c r="BO42" s="0" t="n">
        <v>14.38</v>
      </c>
      <c r="BP42" s="0" t="s">
        <v>202</v>
      </c>
      <c r="BQ42" s="0" t="s">
        <v>202</v>
      </c>
      <c r="BR42" s="0" t="s">
        <v>203</v>
      </c>
      <c r="BS42" s="0" t="s">
        <v>303</v>
      </c>
      <c r="BT42" s="0" t="s">
        <v>220</v>
      </c>
      <c r="BU42" s="0" t="s">
        <v>269</v>
      </c>
      <c r="BW42" s="0" t="s">
        <v>206</v>
      </c>
      <c r="BX42" s="0" t="s">
        <v>217</v>
      </c>
      <c r="BY42" s="0" t="n">
        <v>255</v>
      </c>
      <c r="BZ42" s="0" t="n">
        <v>255</v>
      </c>
      <c r="CB42" s="0" t="s">
        <v>208</v>
      </c>
      <c r="CC42" s="0" t="s">
        <v>209</v>
      </c>
      <c r="CD42" s="0" t="s">
        <v>209</v>
      </c>
      <c r="CE42" s="0" t="s">
        <v>210</v>
      </c>
      <c r="CF42" s="0" t="s">
        <v>211</v>
      </c>
      <c r="CG42" s="0" t="s">
        <v>304</v>
      </c>
      <c r="CH42" s="1" t="n">
        <v>46112</v>
      </c>
      <c r="CI42" s="0" t="n">
        <v>1.2</v>
      </c>
      <c r="CJ42" s="0" t="n">
        <v>2.66</v>
      </c>
      <c r="CK42" s="0" t="n">
        <v>2.79</v>
      </c>
      <c r="CL42" s="0" t="s">
        <v>212</v>
      </c>
      <c r="DA42" s="0" t="n">
        <v>0.84</v>
      </c>
      <c r="DC42" s="0" t="n">
        <v>0.85</v>
      </c>
      <c r="DD42" s="0" t="s">
        <v>213</v>
      </c>
      <c r="ED42" s="0" t="s">
        <v>212</v>
      </c>
      <c r="EE42" s="0" t="n">
        <v>1.05</v>
      </c>
      <c r="EI42" s="0" t="n">
        <v>1.63</v>
      </c>
      <c r="FQ42" s="0" t="n">
        <v>15740291</v>
      </c>
    </row>
    <row r="43" customFormat="false" ht="15" hidden="false" customHeight="false" outlineLevel="0" collapsed="false">
      <c r="B43" s="0" t="str">
        <f aca="false">C43&amp;"x"&amp;I43</f>
        <v>61022x100207</v>
      </c>
      <c r="C43" s="0" t="n">
        <f aca="false">IF(G43="SINGLE",H43,G43)</f>
        <v>61022</v>
      </c>
      <c r="D43" s="0" t="e">
        <f aca="false">_xlfn.XLOOKUP(I43,calculations!$t:$t,calculations!$s:$s)</f>
        <v>#VALUE!</v>
      </c>
      <c r="E43" s="0" t="str">
        <f aca="false">_xlfn.XLOOKUP(I43,Mapping!$T:$T,Mapping!$Q:$Q)</f>
        <v>FALC06</v>
      </c>
      <c r="F43" s="1" t="n">
        <v>46203</v>
      </c>
      <c r="G43" s="0" t="n">
        <v>61022</v>
      </c>
      <c r="H43" s="0" t="n">
        <v>61022</v>
      </c>
      <c r="I43" s="0" t="n">
        <v>100207</v>
      </c>
      <c r="J43" s="0" t="s">
        <v>294</v>
      </c>
      <c r="K43" s="0" t="s">
        <v>273</v>
      </c>
      <c r="L43" s="0" t="s">
        <v>273</v>
      </c>
      <c r="M43" s="0" t="s">
        <v>184</v>
      </c>
      <c r="N43" s="0" t="n">
        <v>21398000</v>
      </c>
      <c r="O43" s="0" t="n">
        <v>25026900.58</v>
      </c>
      <c r="P43" s="0" t="s">
        <v>185</v>
      </c>
      <c r="Q43" s="0" t="s">
        <v>186</v>
      </c>
      <c r="R43" s="0" t="s">
        <v>202</v>
      </c>
      <c r="S43" s="0" t="s">
        <v>295</v>
      </c>
      <c r="T43" s="0" t="s">
        <v>189</v>
      </c>
      <c r="U43" s="0" t="s">
        <v>229</v>
      </c>
      <c r="V43" s="0" t="s">
        <v>230</v>
      </c>
      <c r="W43" s="0" t="s">
        <v>296</v>
      </c>
      <c r="X43" s="0" t="s">
        <v>297</v>
      </c>
      <c r="Y43" s="0" t="n">
        <v>10.6</v>
      </c>
      <c r="Z43" s="0" t="s">
        <v>219</v>
      </c>
      <c r="AA43" s="0" t="n">
        <v>0.855</v>
      </c>
      <c r="AB43" s="0" t="s">
        <v>202</v>
      </c>
      <c r="AC43" s="0" t="n">
        <v>22458000</v>
      </c>
      <c r="AD43" s="0" t="n">
        <v>22458000</v>
      </c>
      <c r="AE43" s="0" t="n">
        <v>26266666.67</v>
      </c>
      <c r="AF43" s="0" t="n">
        <v>0.9528</v>
      </c>
      <c r="AG43" s="0" t="n">
        <v>21398000</v>
      </c>
      <c r="AH43" s="0" t="n">
        <v>21398000</v>
      </c>
      <c r="AI43" s="0" t="n">
        <v>1060000</v>
      </c>
      <c r="AJ43" s="0" t="n">
        <v>22458000</v>
      </c>
      <c r="AK43" s="0" t="n">
        <v>21398000</v>
      </c>
      <c r="AL43" s="0" t="n">
        <v>21398000</v>
      </c>
      <c r="AM43" s="0" t="s">
        <v>194</v>
      </c>
      <c r="AN43" s="0" t="n">
        <v>3.491</v>
      </c>
      <c r="AO43" s="0" t="n">
        <v>2.595</v>
      </c>
      <c r="AP43" s="0" t="n">
        <v>3.331</v>
      </c>
      <c r="AQ43" s="0" t="n">
        <v>100</v>
      </c>
      <c r="AR43" s="0" t="n">
        <v>100</v>
      </c>
      <c r="AS43" s="1" t="n">
        <v>45246</v>
      </c>
      <c r="AT43" s="1" t="n">
        <v>51456</v>
      </c>
      <c r="AU43" s="1" t="n">
        <v>46295</v>
      </c>
      <c r="AV43" s="0" t="s">
        <v>298</v>
      </c>
      <c r="AW43" s="0" t="s">
        <v>299</v>
      </c>
      <c r="AX43" s="0" t="s">
        <v>187</v>
      </c>
      <c r="AY43" s="0" t="s">
        <v>300</v>
      </c>
      <c r="AZ43" s="0" t="s">
        <v>301</v>
      </c>
      <c r="BA43" s="0" t="s">
        <v>230</v>
      </c>
      <c r="BB43" s="0" t="s">
        <v>299</v>
      </c>
      <c r="BC43" s="0" t="s">
        <v>302</v>
      </c>
      <c r="BI43" s="0" t="n">
        <v>22458000</v>
      </c>
      <c r="BJ43" s="0" t="n">
        <v>26266666.67</v>
      </c>
      <c r="BK43" s="0" t="s">
        <v>200</v>
      </c>
      <c r="BL43" s="0" t="s">
        <v>201</v>
      </c>
      <c r="BN43" s="0" t="n">
        <v>10.2</v>
      </c>
      <c r="BO43" s="0" t="n">
        <v>14.38</v>
      </c>
      <c r="BP43" s="0" t="s">
        <v>202</v>
      </c>
      <c r="BQ43" s="0" t="s">
        <v>202</v>
      </c>
      <c r="BR43" s="0" t="s">
        <v>203</v>
      </c>
      <c r="BS43" s="0" t="s">
        <v>303</v>
      </c>
      <c r="BT43" s="0" t="s">
        <v>220</v>
      </c>
      <c r="BU43" s="0" t="s">
        <v>216</v>
      </c>
      <c r="BW43" s="0" t="s">
        <v>257</v>
      </c>
      <c r="BX43" s="0" t="s">
        <v>217</v>
      </c>
      <c r="BY43" s="0" t="n">
        <v>255</v>
      </c>
      <c r="BZ43" s="0" t="n">
        <v>255</v>
      </c>
      <c r="CB43" s="0" t="s">
        <v>208</v>
      </c>
      <c r="CC43" s="0" t="s">
        <v>209</v>
      </c>
      <c r="CD43" s="0" t="s">
        <v>209</v>
      </c>
      <c r="CE43" s="0" t="s">
        <v>210</v>
      </c>
      <c r="CF43" s="0" t="s">
        <v>211</v>
      </c>
      <c r="CG43" s="0" t="s">
        <v>304</v>
      </c>
      <c r="CH43" s="1" t="n">
        <v>46112</v>
      </c>
      <c r="CI43" s="0" t="n">
        <v>1.2</v>
      </c>
      <c r="CJ43" s="0" t="n">
        <v>3.09</v>
      </c>
      <c r="CK43" s="0" t="n">
        <v>3.24</v>
      </c>
      <c r="CL43" s="0" t="s">
        <v>212</v>
      </c>
      <c r="DA43" s="0" t="n">
        <v>0.64</v>
      </c>
      <c r="DC43" s="0" t="n">
        <v>0.85</v>
      </c>
      <c r="DD43" s="0" t="s">
        <v>212</v>
      </c>
      <c r="ED43" s="0" t="s">
        <v>212</v>
      </c>
      <c r="EE43" s="0" t="n">
        <v>1.05</v>
      </c>
      <c r="EI43" s="0" t="n">
        <v>1.75</v>
      </c>
      <c r="FQ43" s="0" t="n">
        <v>18858372</v>
      </c>
    </row>
    <row r="44" customFormat="false" ht="15" hidden="false" customHeight="false" outlineLevel="0" collapsed="false">
      <c r="B44" s="0" t="str">
        <f aca="false">C44&amp;"x"&amp;I44</f>
        <v>61023x100208</v>
      </c>
      <c r="C44" s="0" t="n">
        <f aca="false">IF(G44="SINGLE",H44,G44)</f>
        <v>61023</v>
      </c>
      <c r="D44" s="0" t="e">
        <f aca="false">_xlfn.XLOOKUP(I44,calculations!$t:$t,calculations!$s:$s)</f>
        <v>#VALUE!</v>
      </c>
      <c r="E44" s="0" t="str">
        <f aca="false">_xlfn.XLOOKUP(I44,Mapping!$T:$T,Mapping!$Q:$Q)</f>
        <v>GRAN07</v>
      </c>
      <c r="F44" s="1" t="n">
        <v>46203</v>
      </c>
      <c r="G44" s="0" t="n">
        <v>61023</v>
      </c>
      <c r="H44" s="0" t="n">
        <v>61023</v>
      </c>
      <c r="I44" s="0" t="n">
        <v>100208</v>
      </c>
      <c r="J44" s="0" t="s">
        <v>305</v>
      </c>
      <c r="K44" s="0" t="s">
        <v>221</v>
      </c>
      <c r="L44" s="0" t="s">
        <v>221</v>
      </c>
      <c r="M44" s="0" t="s">
        <v>184</v>
      </c>
      <c r="N44" s="0" t="n">
        <v>41561000</v>
      </c>
      <c r="O44" s="0" t="n">
        <v>41561000</v>
      </c>
      <c r="P44" s="0" t="s">
        <v>185</v>
      </c>
      <c r="Q44" s="0" t="s">
        <v>227</v>
      </c>
      <c r="R44" s="0" t="s">
        <v>187</v>
      </c>
      <c r="S44" s="0" t="s">
        <v>306</v>
      </c>
      <c r="T44" s="0" t="s">
        <v>189</v>
      </c>
      <c r="U44" s="0" t="s">
        <v>307</v>
      </c>
      <c r="V44" s="0" t="s">
        <v>308</v>
      </c>
      <c r="W44" s="0" t="s">
        <v>309</v>
      </c>
      <c r="X44" s="0" t="s">
        <v>310</v>
      </c>
      <c r="Y44" s="0" t="n">
        <v>8.7</v>
      </c>
      <c r="Z44" s="0" t="s">
        <v>185</v>
      </c>
      <c r="AA44" s="0" t="n">
        <v>1</v>
      </c>
      <c r="AB44" s="0" t="s">
        <v>187</v>
      </c>
      <c r="AC44" s="0" t="n">
        <v>41061000</v>
      </c>
      <c r="AD44" s="0" t="n">
        <v>41061000</v>
      </c>
      <c r="AE44" s="0" t="n">
        <v>41061000</v>
      </c>
      <c r="AF44" s="0" t="n">
        <v>1.0122</v>
      </c>
      <c r="AG44" s="0" t="n">
        <v>41561000</v>
      </c>
      <c r="AH44" s="0" t="n">
        <v>41561000</v>
      </c>
      <c r="AI44" s="0" t="n">
        <v>-500000</v>
      </c>
      <c r="AJ44" s="0" t="n">
        <v>41061000</v>
      </c>
      <c r="AK44" s="0" t="n">
        <v>41561000</v>
      </c>
      <c r="AL44" s="0" t="n">
        <v>41561000</v>
      </c>
      <c r="AM44" s="0" t="s">
        <v>194</v>
      </c>
      <c r="AN44" s="0" t="n">
        <v>5.629</v>
      </c>
      <c r="AO44" s="0" t="n">
        <v>3.943</v>
      </c>
      <c r="AP44" s="0" t="n">
        <v>2.581</v>
      </c>
      <c r="AQ44" s="0" t="n">
        <v>100</v>
      </c>
      <c r="AR44" s="0" t="n">
        <v>100</v>
      </c>
      <c r="AS44" s="1" t="n">
        <v>42133</v>
      </c>
      <c r="AT44" s="1" t="n">
        <v>47431</v>
      </c>
      <c r="AU44" s="1" t="n">
        <v>46295</v>
      </c>
      <c r="AV44" s="0" t="s">
        <v>311</v>
      </c>
      <c r="AW44" s="0" t="s">
        <v>312</v>
      </c>
      <c r="AX44" s="0" t="s">
        <v>187</v>
      </c>
      <c r="AY44" s="0" t="s">
        <v>313</v>
      </c>
      <c r="AZ44" s="0" t="s">
        <v>314</v>
      </c>
      <c r="BA44" s="0" t="s">
        <v>308</v>
      </c>
      <c r="BB44" s="0" t="s">
        <v>312</v>
      </c>
      <c r="BC44" s="0" t="s">
        <v>315</v>
      </c>
      <c r="BI44" s="0" t="n">
        <v>41061000</v>
      </c>
      <c r="BJ44" s="0" t="n">
        <v>41061000</v>
      </c>
      <c r="BK44" s="0" t="s">
        <v>200</v>
      </c>
      <c r="BL44" s="0" t="s">
        <v>201</v>
      </c>
      <c r="BN44" s="0" t="n">
        <v>8.7</v>
      </c>
      <c r="BO44" s="0" t="n">
        <v>3.36</v>
      </c>
      <c r="BP44" s="0" t="s">
        <v>202</v>
      </c>
      <c r="BQ44" s="0" t="s">
        <v>187</v>
      </c>
      <c r="BR44" s="0" t="s">
        <v>203</v>
      </c>
      <c r="BS44" s="0" t="s">
        <v>316</v>
      </c>
      <c r="BT44" s="0" t="s">
        <v>216</v>
      </c>
      <c r="BU44" s="0" t="s">
        <v>224</v>
      </c>
      <c r="BW44" s="0" t="s">
        <v>206</v>
      </c>
      <c r="BX44" s="0" t="s">
        <v>207</v>
      </c>
      <c r="BY44" s="0" t="n">
        <v>220</v>
      </c>
      <c r="BZ44" s="0" t="n">
        <v>220</v>
      </c>
      <c r="CB44" s="0" t="s">
        <v>208</v>
      </c>
      <c r="CC44" s="0" t="s">
        <v>317</v>
      </c>
      <c r="CD44" s="0" t="s">
        <v>317</v>
      </c>
      <c r="CE44" s="0" t="s">
        <v>317</v>
      </c>
      <c r="CF44" s="0" t="s">
        <v>318</v>
      </c>
      <c r="CG44" s="0" t="s">
        <v>211</v>
      </c>
      <c r="CH44" s="1" t="n">
        <v>46112</v>
      </c>
      <c r="CI44" s="0" t="n">
        <v>1.2</v>
      </c>
      <c r="CJ44" s="0" t="n">
        <v>1.7</v>
      </c>
      <c r="CK44" s="0" t="n">
        <v>1.78</v>
      </c>
      <c r="CL44" s="0" t="s">
        <v>212</v>
      </c>
      <c r="DA44" s="0" t="n">
        <v>0.55</v>
      </c>
      <c r="DC44" s="0" t="n">
        <v>0.85</v>
      </c>
      <c r="DD44" s="0" t="s">
        <v>212</v>
      </c>
      <c r="ED44" s="0" t="s">
        <v>212</v>
      </c>
      <c r="EE44" s="0" t="n">
        <v>1.05</v>
      </c>
      <c r="EI44" s="0" t="n">
        <v>1.7</v>
      </c>
      <c r="FQ44" s="0" t="n">
        <v>82486249</v>
      </c>
    </row>
    <row r="45" customFormat="false" ht="15" hidden="false" customHeight="false" outlineLevel="0" collapsed="false">
      <c r="B45" s="0" t="str">
        <f aca="false">C45&amp;"x"&amp;I45</f>
        <v>61021x100208</v>
      </c>
      <c r="C45" s="0" t="n">
        <f aca="false">IF(G45="SINGLE",H45,G45)</f>
        <v>61021</v>
      </c>
      <c r="D45" s="0" t="e">
        <f aca="false">_xlfn.XLOOKUP(I45,calculations!$t:$t,calculations!$s:$s)</f>
        <v>#VALUE!</v>
      </c>
      <c r="E45" s="0" t="str">
        <f aca="false">_xlfn.XLOOKUP(I45,Mapping!$T:$T,Mapping!$Q:$Q)</f>
        <v>GRAN07</v>
      </c>
      <c r="F45" s="1" t="n">
        <v>46203</v>
      </c>
      <c r="G45" s="0" t="n">
        <v>61021</v>
      </c>
      <c r="H45" s="0" t="n">
        <v>61021</v>
      </c>
      <c r="I45" s="0" t="n">
        <v>100208</v>
      </c>
      <c r="J45" s="0" t="s">
        <v>305</v>
      </c>
      <c r="K45" s="0" t="s">
        <v>214</v>
      </c>
      <c r="L45" s="0" t="s">
        <v>214</v>
      </c>
      <c r="M45" s="0" t="s">
        <v>184</v>
      </c>
      <c r="N45" s="0" t="n">
        <v>35221000</v>
      </c>
      <c r="O45" s="0" t="n">
        <v>35221000</v>
      </c>
      <c r="P45" s="0" t="s">
        <v>185</v>
      </c>
      <c r="Q45" s="0" t="s">
        <v>227</v>
      </c>
      <c r="R45" s="0" t="s">
        <v>187</v>
      </c>
      <c r="S45" s="0" t="s">
        <v>306</v>
      </c>
      <c r="T45" s="0" t="s">
        <v>189</v>
      </c>
      <c r="U45" s="0" t="s">
        <v>307</v>
      </c>
      <c r="V45" s="0" t="s">
        <v>308</v>
      </c>
      <c r="W45" s="0" t="s">
        <v>309</v>
      </c>
      <c r="X45" s="0" t="s">
        <v>310</v>
      </c>
      <c r="Y45" s="0" t="n">
        <v>8.7</v>
      </c>
      <c r="Z45" s="0" t="s">
        <v>185</v>
      </c>
      <c r="AA45" s="0" t="n">
        <v>1</v>
      </c>
      <c r="AB45" s="0" t="s">
        <v>187</v>
      </c>
      <c r="AC45" s="0" t="n">
        <v>35577000</v>
      </c>
      <c r="AD45" s="0" t="n">
        <v>35577000</v>
      </c>
      <c r="AE45" s="0" t="n">
        <v>35577000</v>
      </c>
      <c r="AF45" s="0" t="n">
        <v>0.99</v>
      </c>
      <c r="AG45" s="0" t="n">
        <v>35221000</v>
      </c>
      <c r="AH45" s="0" t="n">
        <v>35221000</v>
      </c>
      <c r="AI45" s="0" t="n">
        <v>356000</v>
      </c>
      <c r="AJ45" s="0" t="n">
        <v>35577000</v>
      </c>
      <c r="AK45" s="0" t="n">
        <v>35221000</v>
      </c>
      <c r="AL45" s="0" t="n">
        <v>35221000</v>
      </c>
      <c r="AM45" s="0" t="s">
        <v>194</v>
      </c>
      <c r="AN45" s="0" t="n">
        <v>3.58</v>
      </c>
      <c r="AO45" s="0" t="n">
        <v>3.56</v>
      </c>
      <c r="AP45" s="0" t="n">
        <v>6.015</v>
      </c>
      <c r="AQ45" s="0" t="n">
        <v>100</v>
      </c>
      <c r="AR45" s="0" t="n">
        <v>100</v>
      </c>
      <c r="AS45" s="1" t="n">
        <v>42133</v>
      </c>
      <c r="AT45" s="1" t="n">
        <v>47431</v>
      </c>
      <c r="AU45" s="1" t="n">
        <v>46295</v>
      </c>
      <c r="AV45" s="0" t="s">
        <v>311</v>
      </c>
      <c r="AW45" s="0" t="s">
        <v>312</v>
      </c>
      <c r="AX45" s="0" t="s">
        <v>187</v>
      </c>
      <c r="AY45" s="0" t="s">
        <v>313</v>
      </c>
      <c r="AZ45" s="0" t="s">
        <v>314</v>
      </c>
      <c r="BA45" s="0" t="s">
        <v>308</v>
      </c>
      <c r="BB45" s="0" t="s">
        <v>312</v>
      </c>
      <c r="BC45" s="0" t="s">
        <v>315</v>
      </c>
      <c r="BI45" s="0" t="n">
        <v>35577000</v>
      </c>
      <c r="BJ45" s="0" t="n">
        <v>35577000</v>
      </c>
      <c r="BK45" s="0" t="s">
        <v>200</v>
      </c>
      <c r="BL45" s="0" t="s">
        <v>201</v>
      </c>
      <c r="BN45" s="0" t="n">
        <v>8.7</v>
      </c>
      <c r="BO45" s="0" t="n">
        <v>3.36</v>
      </c>
      <c r="BP45" s="0" t="s">
        <v>202</v>
      </c>
      <c r="BQ45" s="0" t="s">
        <v>187</v>
      </c>
      <c r="BR45" s="0" t="s">
        <v>203</v>
      </c>
      <c r="BS45" s="0" t="s">
        <v>316</v>
      </c>
      <c r="BT45" s="0" t="s">
        <v>216</v>
      </c>
      <c r="BU45" s="0" t="s">
        <v>205</v>
      </c>
      <c r="BW45" s="0" t="s">
        <v>257</v>
      </c>
      <c r="BX45" s="0" t="s">
        <v>207</v>
      </c>
      <c r="BY45" s="0" t="n">
        <v>220</v>
      </c>
      <c r="BZ45" s="0" t="n">
        <v>220</v>
      </c>
      <c r="CB45" s="0" t="s">
        <v>208</v>
      </c>
      <c r="CC45" s="0" t="s">
        <v>317</v>
      </c>
      <c r="CD45" s="0" t="s">
        <v>317</v>
      </c>
      <c r="CE45" s="0" t="s">
        <v>317</v>
      </c>
      <c r="CF45" s="0" t="s">
        <v>318</v>
      </c>
      <c r="CG45" s="0" t="s">
        <v>211</v>
      </c>
      <c r="CH45" s="1" t="n">
        <v>46112</v>
      </c>
      <c r="CI45" s="0" t="n">
        <v>1.2</v>
      </c>
      <c r="CJ45" s="0" t="n">
        <v>1.33</v>
      </c>
      <c r="CK45" s="0" t="n">
        <v>1.4</v>
      </c>
      <c r="CL45" s="0" t="s">
        <v>212</v>
      </c>
      <c r="DA45" s="0" t="n">
        <v>0.79</v>
      </c>
      <c r="DC45" s="0" t="n">
        <v>0.85</v>
      </c>
      <c r="DD45" s="0" t="s">
        <v>212</v>
      </c>
      <c r="ED45" s="0" t="s">
        <v>213</v>
      </c>
      <c r="EE45" s="0" t="n">
        <v>1.05</v>
      </c>
      <c r="EI45" s="0" t="n">
        <v>1.18</v>
      </c>
      <c r="FQ45" s="0" t="n">
        <v>62491674</v>
      </c>
    </row>
    <row r="46" customFormat="false" ht="15" hidden="false" customHeight="false" outlineLevel="0" collapsed="false">
      <c r="B46" s="0" t="str">
        <f aca="false">C46&amp;"x"&amp;I46</f>
        <v>61007x100208</v>
      </c>
      <c r="C46" s="0" t="n">
        <f aca="false">IF(G46="SINGLE",H46,G46)</f>
        <v>61007</v>
      </c>
      <c r="D46" s="0" t="e">
        <f aca="false">_xlfn.XLOOKUP(I46,calculations!$t:$t,calculations!$s:$s)</f>
        <v>#VALUE!</v>
      </c>
      <c r="E46" s="0" t="str">
        <f aca="false">_xlfn.XLOOKUP(I46,Mapping!$T:$T,Mapping!$Q:$Q)</f>
        <v>GRAN07</v>
      </c>
      <c r="F46" s="1" t="n">
        <v>46203</v>
      </c>
      <c r="G46" s="0" t="n">
        <v>61007</v>
      </c>
      <c r="H46" s="0" t="n">
        <v>61007</v>
      </c>
      <c r="I46" s="0" t="n">
        <v>100208</v>
      </c>
      <c r="J46" s="0" t="s">
        <v>305</v>
      </c>
      <c r="K46" s="0" t="s">
        <v>218</v>
      </c>
      <c r="L46" s="0" t="s">
        <v>218</v>
      </c>
      <c r="M46" s="0" t="s">
        <v>184</v>
      </c>
      <c r="N46" s="0" t="n">
        <v>61220000</v>
      </c>
      <c r="O46" s="0" t="n">
        <v>61220000</v>
      </c>
      <c r="P46" s="0" t="s">
        <v>219</v>
      </c>
      <c r="Q46" s="0" t="s">
        <v>227</v>
      </c>
      <c r="R46" s="0" t="s">
        <v>187</v>
      </c>
      <c r="S46" s="0" t="s">
        <v>306</v>
      </c>
      <c r="T46" s="0" t="s">
        <v>189</v>
      </c>
      <c r="U46" s="0" t="s">
        <v>307</v>
      </c>
      <c r="V46" s="0" t="s">
        <v>308</v>
      </c>
      <c r="W46" s="0" t="s">
        <v>309</v>
      </c>
      <c r="X46" s="0" t="s">
        <v>310</v>
      </c>
      <c r="Y46" s="0" t="n">
        <v>8.7</v>
      </c>
      <c r="Z46" s="0" t="s">
        <v>185</v>
      </c>
      <c r="AA46" s="0" t="n">
        <v>1</v>
      </c>
      <c r="AB46" s="0" t="s">
        <v>187</v>
      </c>
      <c r="AC46" s="0" t="n">
        <v>61840000</v>
      </c>
      <c r="AD46" s="0" t="n">
        <v>61840000</v>
      </c>
      <c r="AE46" s="0" t="n">
        <v>61840000</v>
      </c>
      <c r="AF46" s="0" t="n">
        <v>0.99</v>
      </c>
      <c r="AG46" s="0" t="n">
        <v>61220000</v>
      </c>
      <c r="AH46" s="0" t="n">
        <v>61220000</v>
      </c>
      <c r="AI46" s="0" t="n">
        <v>620000</v>
      </c>
      <c r="AJ46" s="0" t="n">
        <v>61840000</v>
      </c>
      <c r="AK46" s="0" t="n">
        <v>61220000</v>
      </c>
      <c r="AL46" s="0" t="n">
        <v>61220000</v>
      </c>
      <c r="AM46" s="0" t="s">
        <v>194</v>
      </c>
      <c r="AN46" s="0" t="n">
        <v>4.593</v>
      </c>
      <c r="AO46" s="0" t="n">
        <v>6.081</v>
      </c>
      <c r="AP46" s="0" t="n">
        <v>3.184</v>
      </c>
      <c r="AQ46" s="0" t="n">
        <v>100</v>
      </c>
      <c r="AR46" s="0" t="n">
        <v>100</v>
      </c>
      <c r="AS46" s="1" t="n">
        <v>42133</v>
      </c>
      <c r="AT46" s="1" t="n">
        <v>47431</v>
      </c>
      <c r="AU46" s="1" t="n">
        <v>46295</v>
      </c>
      <c r="AV46" s="0" t="s">
        <v>311</v>
      </c>
      <c r="AW46" s="0" t="s">
        <v>312</v>
      </c>
      <c r="AX46" s="0" t="s">
        <v>187</v>
      </c>
      <c r="AY46" s="0" t="s">
        <v>313</v>
      </c>
      <c r="AZ46" s="0" t="s">
        <v>314</v>
      </c>
      <c r="BA46" s="0" t="s">
        <v>308</v>
      </c>
      <c r="BB46" s="0" t="s">
        <v>312</v>
      </c>
      <c r="BC46" s="0" t="s">
        <v>315</v>
      </c>
      <c r="BI46" s="0" t="n">
        <v>61840000</v>
      </c>
      <c r="BJ46" s="0" t="n">
        <v>61840000</v>
      </c>
      <c r="BK46" s="0" t="s">
        <v>200</v>
      </c>
      <c r="BL46" s="0" t="s">
        <v>201</v>
      </c>
      <c r="BN46" s="0" t="n">
        <v>8.7</v>
      </c>
      <c r="BO46" s="0" t="n">
        <v>3.36</v>
      </c>
      <c r="BP46" s="0" t="s">
        <v>202</v>
      </c>
      <c r="BQ46" s="0" t="s">
        <v>187</v>
      </c>
      <c r="BR46" s="0" t="s">
        <v>203</v>
      </c>
      <c r="BS46" s="0" t="s">
        <v>316</v>
      </c>
      <c r="BT46" s="0" t="s">
        <v>216</v>
      </c>
      <c r="BU46" s="0" t="s">
        <v>216</v>
      </c>
      <c r="BW46" s="0" t="s">
        <v>257</v>
      </c>
      <c r="BX46" s="0" t="s">
        <v>217</v>
      </c>
      <c r="BY46" s="0" t="n">
        <v>220</v>
      </c>
      <c r="BZ46" s="0" t="n">
        <v>220</v>
      </c>
      <c r="CB46" s="0" t="s">
        <v>208</v>
      </c>
      <c r="CC46" s="0" t="s">
        <v>317</v>
      </c>
      <c r="CD46" s="0" t="s">
        <v>317</v>
      </c>
      <c r="CE46" s="0" t="s">
        <v>317</v>
      </c>
      <c r="CF46" s="0" t="s">
        <v>318</v>
      </c>
      <c r="CG46" s="0" t="s">
        <v>211</v>
      </c>
      <c r="CH46" s="1" t="n">
        <v>46112</v>
      </c>
      <c r="CI46" s="0" t="n">
        <v>1.2</v>
      </c>
      <c r="CJ46" s="0" t="n">
        <v>1.4</v>
      </c>
      <c r="CK46" s="0" t="n">
        <v>1.47</v>
      </c>
      <c r="CL46" s="0" t="s">
        <v>212</v>
      </c>
      <c r="DA46" s="0" t="n">
        <v>0.48</v>
      </c>
      <c r="DC46" s="0" t="n">
        <v>0.85</v>
      </c>
      <c r="DD46" s="0" t="s">
        <v>212</v>
      </c>
      <c r="ED46" s="0" t="s">
        <v>212</v>
      </c>
      <c r="EE46" s="0" t="n">
        <v>1.05</v>
      </c>
      <c r="EI46" s="0" t="n">
        <v>1.82</v>
      </c>
      <c r="FQ46" s="0" t="n">
        <v>90643678</v>
      </c>
    </row>
    <row r="47" customFormat="false" ht="15" hidden="false" customHeight="false" outlineLevel="0" collapsed="false">
      <c r="B47" s="0" t="str">
        <f aca="false">C47&amp;"x"&amp;I47</f>
        <v>61005x100208</v>
      </c>
      <c r="C47" s="0" t="n">
        <f aca="false">IF(G47="SINGLE",H47,G47)</f>
        <v>61005</v>
      </c>
      <c r="D47" s="0" t="e">
        <f aca="false">_xlfn.XLOOKUP(I47,calculations!$t:$t,calculations!$s:$s)</f>
        <v>#VALUE!</v>
      </c>
      <c r="E47" s="0" t="str">
        <f aca="false">_xlfn.XLOOKUP(I47,Mapping!$T:$T,Mapping!$Q:$Q)</f>
        <v>GRAN07</v>
      </c>
      <c r="F47" s="1" t="n">
        <v>46203</v>
      </c>
      <c r="G47" s="0" t="n">
        <v>61005</v>
      </c>
      <c r="H47" s="0" t="n">
        <v>61005</v>
      </c>
      <c r="I47" s="0" t="n">
        <v>100208</v>
      </c>
      <c r="J47" s="0" t="s">
        <v>305</v>
      </c>
      <c r="K47" s="0" t="s">
        <v>275</v>
      </c>
      <c r="L47" s="0" t="s">
        <v>275</v>
      </c>
      <c r="M47" s="0" t="s">
        <v>184</v>
      </c>
      <c r="N47" s="0" t="n">
        <v>45422000</v>
      </c>
      <c r="O47" s="0" t="n">
        <v>45422000</v>
      </c>
      <c r="P47" s="0" t="s">
        <v>185</v>
      </c>
      <c r="Q47" s="0" t="s">
        <v>227</v>
      </c>
      <c r="R47" s="0" t="s">
        <v>187</v>
      </c>
      <c r="S47" s="0" t="s">
        <v>306</v>
      </c>
      <c r="T47" s="0" t="s">
        <v>189</v>
      </c>
      <c r="U47" s="0" t="s">
        <v>307</v>
      </c>
      <c r="V47" s="0" t="s">
        <v>308</v>
      </c>
      <c r="W47" s="0" t="s">
        <v>309</v>
      </c>
      <c r="X47" s="0" t="s">
        <v>310</v>
      </c>
      <c r="Y47" s="0" t="n">
        <v>8.7</v>
      </c>
      <c r="Z47" s="0" t="s">
        <v>185</v>
      </c>
      <c r="AA47" s="0" t="n">
        <v>1</v>
      </c>
      <c r="AB47" s="0" t="s">
        <v>187</v>
      </c>
      <c r="AC47" s="0" t="n">
        <v>45882000</v>
      </c>
      <c r="AD47" s="0" t="n">
        <v>45882000</v>
      </c>
      <c r="AE47" s="0" t="n">
        <v>45882000</v>
      </c>
      <c r="AF47" s="0" t="n">
        <v>0.99</v>
      </c>
      <c r="AG47" s="0" t="n">
        <v>45422000</v>
      </c>
      <c r="AH47" s="0" t="n">
        <v>45422000</v>
      </c>
      <c r="AI47" s="0" t="n">
        <v>460000</v>
      </c>
      <c r="AJ47" s="0" t="n">
        <v>45882000</v>
      </c>
      <c r="AK47" s="0" t="n">
        <v>45422000</v>
      </c>
      <c r="AL47" s="0" t="n">
        <v>45422000</v>
      </c>
      <c r="AM47" s="0" t="s">
        <v>194</v>
      </c>
      <c r="AN47" s="0" t="n">
        <v>2.573</v>
      </c>
      <c r="AO47" s="0" t="n">
        <v>5.074</v>
      </c>
      <c r="AP47" s="0" t="n">
        <v>6.47</v>
      </c>
      <c r="AQ47" s="0" t="n">
        <v>100</v>
      </c>
      <c r="AR47" s="0" t="n">
        <v>100</v>
      </c>
      <c r="AS47" s="1" t="n">
        <v>42133</v>
      </c>
      <c r="AT47" s="1" t="n">
        <v>47431</v>
      </c>
      <c r="AU47" s="1" t="n">
        <v>46295</v>
      </c>
      <c r="AV47" s="0" t="s">
        <v>311</v>
      </c>
      <c r="AW47" s="0" t="s">
        <v>312</v>
      </c>
      <c r="AX47" s="0" t="s">
        <v>187</v>
      </c>
      <c r="AY47" s="0" t="s">
        <v>313</v>
      </c>
      <c r="AZ47" s="0" t="s">
        <v>314</v>
      </c>
      <c r="BA47" s="0" t="s">
        <v>308</v>
      </c>
      <c r="BB47" s="0" t="s">
        <v>312</v>
      </c>
      <c r="BC47" s="0" t="s">
        <v>315</v>
      </c>
      <c r="BI47" s="0" t="n">
        <v>45882000</v>
      </c>
      <c r="BJ47" s="0" t="n">
        <v>45882000</v>
      </c>
      <c r="BK47" s="0" t="s">
        <v>200</v>
      </c>
      <c r="BL47" s="0" t="s">
        <v>201</v>
      </c>
      <c r="BN47" s="0" t="n">
        <v>8.7</v>
      </c>
      <c r="BO47" s="0" t="n">
        <v>3.36</v>
      </c>
      <c r="BP47" s="0" t="s">
        <v>202</v>
      </c>
      <c r="BQ47" s="0" t="s">
        <v>187</v>
      </c>
      <c r="BR47" s="0" t="s">
        <v>203</v>
      </c>
      <c r="BS47" s="0" t="s">
        <v>316</v>
      </c>
      <c r="BT47" s="0" t="s">
        <v>216</v>
      </c>
      <c r="BU47" s="0" t="s">
        <v>224</v>
      </c>
      <c r="BW47" s="0" t="s">
        <v>257</v>
      </c>
      <c r="BX47" s="0" t="s">
        <v>207</v>
      </c>
      <c r="BY47" s="0" t="n">
        <v>220</v>
      </c>
      <c r="BZ47" s="0" t="n">
        <v>220</v>
      </c>
      <c r="CB47" s="0" t="s">
        <v>208</v>
      </c>
      <c r="CC47" s="0" t="s">
        <v>317</v>
      </c>
      <c r="CD47" s="0" t="s">
        <v>317</v>
      </c>
      <c r="CE47" s="0" t="s">
        <v>317</v>
      </c>
      <c r="CF47" s="0" t="s">
        <v>318</v>
      </c>
      <c r="CG47" s="0" t="s">
        <v>211</v>
      </c>
      <c r="CH47" s="1" t="n">
        <v>46112</v>
      </c>
      <c r="CI47" s="0" t="n">
        <v>1.2</v>
      </c>
      <c r="CJ47" s="0" t="n">
        <v>2.26</v>
      </c>
      <c r="CK47" s="0" t="n">
        <v>2.37</v>
      </c>
      <c r="CL47" s="0" t="s">
        <v>212</v>
      </c>
      <c r="DA47" s="0" t="n">
        <v>0.8</v>
      </c>
      <c r="DC47" s="0" t="n">
        <v>0.85</v>
      </c>
      <c r="DD47" s="0" t="s">
        <v>213</v>
      </c>
      <c r="ED47" s="0" t="s">
        <v>213</v>
      </c>
      <c r="EE47" s="0" t="n">
        <v>1.05</v>
      </c>
      <c r="EI47" s="0" t="n">
        <v>1.15</v>
      </c>
      <c r="FQ47" s="0" t="n">
        <v>72978372</v>
      </c>
    </row>
    <row r="48" customFormat="false" ht="15" hidden="false" customHeight="false" outlineLevel="0" collapsed="false">
      <c r="B48" s="0" t="str">
        <f aca="false">C48&amp;"x"&amp;I48</f>
        <v>61025x100208</v>
      </c>
      <c r="C48" s="0" t="n">
        <f aca="false">IF(G48="SINGLE",H48,G48)</f>
        <v>61025</v>
      </c>
      <c r="D48" s="0" t="e">
        <f aca="false">_xlfn.XLOOKUP(I48,calculations!$t:$t,calculations!$s:$s)</f>
        <v>#VALUE!</v>
      </c>
      <c r="E48" s="0" t="str">
        <f aca="false">_xlfn.XLOOKUP(I48,Mapping!$T:$T,Mapping!$Q:$Q)</f>
        <v>GRAN07</v>
      </c>
      <c r="F48" s="1" t="n">
        <v>46203</v>
      </c>
      <c r="G48" s="0" t="n">
        <v>61025</v>
      </c>
      <c r="H48" s="0" t="n">
        <v>61025</v>
      </c>
      <c r="I48" s="0" t="n">
        <v>100208</v>
      </c>
      <c r="J48" s="0" t="s">
        <v>305</v>
      </c>
      <c r="K48" s="0" t="s">
        <v>319</v>
      </c>
      <c r="L48" s="0" t="s">
        <v>319</v>
      </c>
      <c r="M48" s="0" t="s">
        <v>184</v>
      </c>
      <c r="N48" s="0" t="n">
        <v>27925000</v>
      </c>
      <c r="O48" s="0" t="n">
        <v>27925000</v>
      </c>
      <c r="P48" s="0" t="s">
        <v>185</v>
      </c>
      <c r="Q48" s="0" t="s">
        <v>227</v>
      </c>
      <c r="R48" s="0" t="s">
        <v>187</v>
      </c>
      <c r="S48" s="0" t="s">
        <v>306</v>
      </c>
      <c r="T48" s="0" t="s">
        <v>189</v>
      </c>
      <c r="U48" s="0" t="s">
        <v>307</v>
      </c>
      <c r="V48" s="0" t="s">
        <v>308</v>
      </c>
      <c r="W48" s="0" t="s">
        <v>309</v>
      </c>
      <c r="X48" s="0" t="s">
        <v>310</v>
      </c>
      <c r="Y48" s="0" t="n">
        <v>8.7</v>
      </c>
      <c r="Z48" s="0" t="s">
        <v>185</v>
      </c>
      <c r="AA48" s="0" t="n">
        <v>1</v>
      </c>
      <c r="AB48" s="0" t="s">
        <v>187</v>
      </c>
      <c r="AC48" s="0" t="n">
        <v>28208000</v>
      </c>
      <c r="AD48" s="0" t="n">
        <v>28208000</v>
      </c>
      <c r="AE48" s="0" t="n">
        <v>28208000</v>
      </c>
      <c r="AF48" s="0" t="n">
        <v>0.99</v>
      </c>
      <c r="AG48" s="0" t="n">
        <v>27925000</v>
      </c>
      <c r="AH48" s="0" t="n">
        <v>27925000</v>
      </c>
      <c r="AI48" s="0" t="n">
        <v>283000</v>
      </c>
      <c r="AJ48" s="0" t="n">
        <v>28208000</v>
      </c>
      <c r="AK48" s="0" t="n">
        <v>27925000</v>
      </c>
      <c r="AL48" s="0" t="n">
        <v>27925000</v>
      </c>
      <c r="AM48" s="0" t="s">
        <v>194</v>
      </c>
      <c r="AN48" s="0" t="n">
        <v>2.724</v>
      </c>
      <c r="AO48" s="0" t="n">
        <v>4.659</v>
      </c>
      <c r="AP48" s="0" t="n">
        <v>4.826</v>
      </c>
      <c r="AQ48" s="0" t="n">
        <v>100</v>
      </c>
      <c r="AR48" s="0" t="n">
        <v>100</v>
      </c>
      <c r="AS48" s="1" t="n">
        <v>42133</v>
      </c>
      <c r="AT48" s="1" t="n">
        <v>47431</v>
      </c>
      <c r="AU48" s="1" t="n">
        <v>46295</v>
      </c>
      <c r="AV48" s="0" t="s">
        <v>311</v>
      </c>
      <c r="AW48" s="0" t="s">
        <v>312</v>
      </c>
      <c r="AX48" s="0" t="s">
        <v>187</v>
      </c>
      <c r="AY48" s="0" t="s">
        <v>313</v>
      </c>
      <c r="AZ48" s="0" t="s">
        <v>314</v>
      </c>
      <c r="BA48" s="0" t="s">
        <v>308</v>
      </c>
      <c r="BB48" s="0" t="s">
        <v>312</v>
      </c>
      <c r="BC48" s="0" t="s">
        <v>315</v>
      </c>
      <c r="BI48" s="0" t="n">
        <v>28208000</v>
      </c>
      <c r="BJ48" s="0" t="n">
        <v>28208000</v>
      </c>
      <c r="BK48" s="0" t="s">
        <v>200</v>
      </c>
      <c r="BL48" s="0" t="s">
        <v>201</v>
      </c>
      <c r="BN48" s="0" t="n">
        <v>8.7</v>
      </c>
      <c r="BO48" s="0" t="n">
        <v>3.36</v>
      </c>
      <c r="BP48" s="0" t="s">
        <v>202</v>
      </c>
      <c r="BQ48" s="0" t="s">
        <v>187</v>
      </c>
      <c r="BR48" s="0" t="s">
        <v>203</v>
      </c>
      <c r="BS48" s="0" t="s">
        <v>316</v>
      </c>
      <c r="BT48" s="0" t="s">
        <v>216</v>
      </c>
      <c r="BU48" s="0" t="s">
        <v>269</v>
      </c>
      <c r="BW48" s="0" t="s">
        <v>206</v>
      </c>
      <c r="BX48" s="0" t="s">
        <v>207</v>
      </c>
      <c r="BY48" s="0" t="n">
        <v>220</v>
      </c>
      <c r="BZ48" s="0" t="n">
        <v>220</v>
      </c>
      <c r="CB48" s="0" t="s">
        <v>208</v>
      </c>
      <c r="CC48" s="0" t="s">
        <v>317</v>
      </c>
      <c r="CD48" s="0" t="s">
        <v>317</v>
      </c>
      <c r="CE48" s="0" t="s">
        <v>317</v>
      </c>
      <c r="CF48" s="0" t="s">
        <v>318</v>
      </c>
      <c r="CG48" s="0" t="s">
        <v>211</v>
      </c>
      <c r="CH48" s="1" t="n">
        <v>46112</v>
      </c>
      <c r="CI48" s="0" t="n">
        <v>1.2</v>
      </c>
      <c r="CJ48" s="0" t="n">
        <v>2.53</v>
      </c>
      <c r="CK48" s="0" t="n">
        <v>2.66</v>
      </c>
      <c r="CL48" s="0" t="s">
        <v>212</v>
      </c>
      <c r="DA48" s="0" t="n">
        <v>0.74</v>
      </c>
      <c r="DC48" s="0" t="n">
        <v>0.85</v>
      </c>
      <c r="DD48" s="0" t="s">
        <v>212</v>
      </c>
      <c r="ED48" s="0" t="s">
        <v>212</v>
      </c>
      <c r="EE48" s="0" t="n">
        <v>1.05</v>
      </c>
      <c r="EI48" s="0" t="n">
        <v>1.42</v>
      </c>
      <c r="FQ48" s="0" t="n">
        <v>71712307</v>
      </c>
    </row>
    <row r="49" customFormat="false" ht="15" hidden="false" customHeight="false" outlineLevel="0" collapsed="false">
      <c r="B49" s="0" t="str">
        <f aca="false">C49&amp;"x"&amp;I49</f>
        <v>61022x100208</v>
      </c>
      <c r="C49" s="0" t="n">
        <f aca="false">IF(G49="SINGLE",H49,G49)</f>
        <v>61022</v>
      </c>
      <c r="D49" s="0" t="e">
        <f aca="false">_xlfn.XLOOKUP(I49,calculations!$t:$t,calculations!$s:$s)</f>
        <v>#VALUE!</v>
      </c>
      <c r="E49" s="0" t="str">
        <f aca="false">_xlfn.XLOOKUP(I49,Mapping!$T:$T,Mapping!$Q:$Q)</f>
        <v>GRAN07</v>
      </c>
      <c r="F49" s="1" t="n">
        <v>46203</v>
      </c>
      <c r="G49" s="0" t="n">
        <v>61022</v>
      </c>
      <c r="H49" s="0" t="n">
        <v>61022</v>
      </c>
      <c r="I49" s="0" t="n">
        <v>100208</v>
      </c>
      <c r="J49" s="0" t="s">
        <v>305</v>
      </c>
      <c r="K49" s="0" t="s">
        <v>273</v>
      </c>
      <c r="L49" s="0" t="s">
        <v>273</v>
      </c>
      <c r="M49" s="0" t="s">
        <v>184</v>
      </c>
      <c r="N49" s="0" t="n">
        <v>33303000</v>
      </c>
      <c r="O49" s="0" t="n">
        <v>33303000</v>
      </c>
      <c r="P49" s="0" t="s">
        <v>185</v>
      </c>
      <c r="Q49" s="0" t="s">
        <v>227</v>
      </c>
      <c r="R49" s="0" t="s">
        <v>187</v>
      </c>
      <c r="S49" s="0" t="s">
        <v>306</v>
      </c>
      <c r="T49" s="0" t="s">
        <v>189</v>
      </c>
      <c r="U49" s="0" t="s">
        <v>307</v>
      </c>
      <c r="V49" s="0" t="s">
        <v>308</v>
      </c>
      <c r="W49" s="0" t="s">
        <v>309</v>
      </c>
      <c r="X49" s="0" t="s">
        <v>310</v>
      </c>
      <c r="Y49" s="0" t="n">
        <v>8.7</v>
      </c>
      <c r="Z49" s="0" t="s">
        <v>185</v>
      </c>
      <c r="AA49" s="0" t="n">
        <v>1</v>
      </c>
      <c r="AB49" s="0" t="s">
        <v>187</v>
      </c>
      <c r="AC49" s="0" t="n">
        <v>33640000</v>
      </c>
      <c r="AD49" s="0" t="n">
        <v>33640000</v>
      </c>
      <c r="AE49" s="0" t="n">
        <v>33640000</v>
      </c>
      <c r="AF49" s="0" t="n">
        <v>0.99</v>
      </c>
      <c r="AG49" s="0" t="n">
        <v>33303000</v>
      </c>
      <c r="AH49" s="0" t="n">
        <v>33303000</v>
      </c>
      <c r="AI49" s="0" t="n">
        <v>337000</v>
      </c>
      <c r="AJ49" s="0" t="n">
        <v>33640000</v>
      </c>
      <c r="AK49" s="0" t="n">
        <v>33303000</v>
      </c>
      <c r="AL49" s="0" t="n">
        <v>33303000</v>
      </c>
      <c r="AM49" s="0" t="s">
        <v>194</v>
      </c>
      <c r="AN49" s="0" t="n">
        <v>5.516</v>
      </c>
      <c r="AO49" s="0" t="n">
        <v>4.693</v>
      </c>
      <c r="AP49" s="0" t="n">
        <v>5.93</v>
      </c>
      <c r="AQ49" s="0" t="n">
        <v>100</v>
      </c>
      <c r="AR49" s="0" t="n">
        <v>100</v>
      </c>
      <c r="AS49" s="1" t="n">
        <v>42133</v>
      </c>
      <c r="AT49" s="1" t="n">
        <v>47431</v>
      </c>
      <c r="AU49" s="1" t="n">
        <v>46295</v>
      </c>
      <c r="AV49" s="0" t="s">
        <v>311</v>
      </c>
      <c r="AW49" s="0" t="s">
        <v>312</v>
      </c>
      <c r="AX49" s="0" t="s">
        <v>187</v>
      </c>
      <c r="AY49" s="0" t="s">
        <v>313</v>
      </c>
      <c r="AZ49" s="0" t="s">
        <v>314</v>
      </c>
      <c r="BA49" s="0" t="s">
        <v>308</v>
      </c>
      <c r="BB49" s="0" t="s">
        <v>312</v>
      </c>
      <c r="BC49" s="0" t="s">
        <v>315</v>
      </c>
      <c r="BI49" s="0" t="n">
        <v>33640000</v>
      </c>
      <c r="BJ49" s="0" t="n">
        <v>33640000</v>
      </c>
      <c r="BK49" s="0" t="s">
        <v>200</v>
      </c>
      <c r="BL49" s="0" t="s">
        <v>201</v>
      </c>
      <c r="BN49" s="0" t="n">
        <v>8.7</v>
      </c>
      <c r="BO49" s="0" t="n">
        <v>3.36</v>
      </c>
      <c r="BP49" s="0" t="s">
        <v>202</v>
      </c>
      <c r="BQ49" s="0" t="s">
        <v>187</v>
      </c>
      <c r="BR49" s="0" t="s">
        <v>203</v>
      </c>
      <c r="BS49" s="0" t="s">
        <v>316</v>
      </c>
      <c r="BT49" s="0" t="s">
        <v>216</v>
      </c>
      <c r="BU49" s="0" t="s">
        <v>269</v>
      </c>
      <c r="BW49" s="0" t="s">
        <v>257</v>
      </c>
      <c r="BX49" s="0" t="s">
        <v>207</v>
      </c>
      <c r="BY49" s="0" t="n">
        <v>220</v>
      </c>
      <c r="BZ49" s="0" t="n">
        <v>220</v>
      </c>
      <c r="CB49" s="0" t="s">
        <v>208</v>
      </c>
      <c r="CC49" s="0" t="s">
        <v>317</v>
      </c>
      <c r="CD49" s="0" t="s">
        <v>317</v>
      </c>
      <c r="CE49" s="0" t="s">
        <v>317</v>
      </c>
      <c r="CF49" s="0" t="s">
        <v>318</v>
      </c>
      <c r="CG49" s="0" t="s">
        <v>211</v>
      </c>
      <c r="CH49" s="1" t="n">
        <v>46112</v>
      </c>
      <c r="CI49" s="0" t="n">
        <v>1.2</v>
      </c>
      <c r="CJ49" s="0" t="n">
        <v>2.81</v>
      </c>
      <c r="CK49" s="0" t="n">
        <v>2.95</v>
      </c>
      <c r="CL49" s="0" t="s">
        <v>212</v>
      </c>
      <c r="DA49" s="0" t="n">
        <v>0.47</v>
      </c>
      <c r="DC49" s="0" t="n">
        <v>0.85</v>
      </c>
      <c r="DD49" s="0" t="s">
        <v>212</v>
      </c>
      <c r="ED49" s="0" t="s">
        <v>212</v>
      </c>
      <c r="EE49" s="0" t="n">
        <v>1.05</v>
      </c>
      <c r="EI49" s="0" t="n">
        <v>1.42</v>
      </c>
      <c r="FQ49" s="0" t="n">
        <v>88445686</v>
      </c>
    </row>
    <row r="50" customFormat="false" ht="15" hidden="false" customHeight="false" outlineLevel="0" collapsed="false">
      <c r="B50" s="0" t="str">
        <f aca="false">C50&amp;"x"&amp;I50</f>
        <v>61020x100209</v>
      </c>
      <c r="C50" s="0" t="n">
        <f aca="false">IF(G50="SINGLE",H50,G50)</f>
        <v>61020</v>
      </c>
      <c r="D50" s="0" t="e">
        <f aca="false">_xlfn.XLOOKUP(I50,calculations!$t:$t,calculations!$s:$s)</f>
        <v>#VALUE!</v>
      </c>
      <c r="E50" s="0" t="str">
        <f aca="false">_xlfn.XLOOKUP(I50,Mapping!$T:$T,Mapping!$Q:$Q)</f>
        <v>HARB08</v>
      </c>
      <c r="F50" s="1" t="n">
        <v>46203</v>
      </c>
      <c r="G50" s="0" t="n">
        <v>61020</v>
      </c>
      <c r="H50" s="0" t="n">
        <v>61020</v>
      </c>
      <c r="I50" s="0" t="n">
        <v>100209</v>
      </c>
      <c r="J50" s="0" t="s">
        <v>320</v>
      </c>
      <c r="K50" s="0" t="s">
        <v>293</v>
      </c>
      <c r="L50" s="0" t="s">
        <v>293</v>
      </c>
      <c r="M50" s="0" t="s">
        <v>184</v>
      </c>
      <c r="N50" s="0" t="n">
        <v>28566000</v>
      </c>
      <c r="O50" s="0" t="n">
        <v>28566000</v>
      </c>
      <c r="P50" s="0" t="s">
        <v>185</v>
      </c>
      <c r="Q50" s="0" t="s">
        <v>227</v>
      </c>
      <c r="R50" s="0" t="s">
        <v>202</v>
      </c>
      <c r="S50" s="0" t="s">
        <v>321</v>
      </c>
      <c r="T50" s="0" t="s">
        <v>189</v>
      </c>
      <c r="U50" s="0" t="s">
        <v>322</v>
      </c>
      <c r="V50" s="0" t="s">
        <v>323</v>
      </c>
      <c r="W50" s="0" t="s">
        <v>324</v>
      </c>
      <c r="X50" s="0" t="s">
        <v>325</v>
      </c>
      <c r="Y50" s="0" t="n">
        <v>11.5</v>
      </c>
      <c r="Z50" s="0" t="s">
        <v>185</v>
      </c>
      <c r="AA50" s="0" t="n">
        <v>1</v>
      </c>
      <c r="AB50" s="0" t="s">
        <v>187</v>
      </c>
      <c r="AC50" s="0" t="n">
        <v>29108000</v>
      </c>
      <c r="AD50" s="0" t="n">
        <v>29108000</v>
      </c>
      <c r="AE50" s="0" t="n">
        <v>29108000</v>
      </c>
      <c r="AF50" s="0" t="n">
        <v>0.9814</v>
      </c>
      <c r="AG50" s="0" t="n">
        <v>28566000</v>
      </c>
      <c r="AH50" s="0" t="n">
        <v>28566000</v>
      </c>
      <c r="AI50" s="0" t="n">
        <v>542000</v>
      </c>
      <c r="AJ50" s="0" t="n">
        <v>29108000</v>
      </c>
      <c r="AK50" s="0" t="n">
        <v>28566000</v>
      </c>
      <c r="AL50" s="0" t="n">
        <v>28566000</v>
      </c>
      <c r="AN50" s="0" t="n">
        <v>5.726</v>
      </c>
      <c r="AO50" s="0" t="n">
        <v>3.988</v>
      </c>
      <c r="AP50" s="0" t="n">
        <v>6.237</v>
      </c>
      <c r="AQ50" s="0" t="n">
        <v>100</v>
      </c>
      <c r="AR50" s="0" t="n">
        <v>100</v>
      </c>
      <c r="AS50" s="1" t="n">
        <v>45739</v>
      </c>
      <c r="AT50" s="1" t="n">
        <v>51948</v>
      </c>
      <c r="AU50" s="1" t="n">
        <v>46295</v>
      </c>
      <c r="AV50" s="0" t="s">
        <v>326</v>
      </c>
      <c r="AW50" s="0" t="s">
        <v>327</v>
      </c>
      <c r="AX50" s="0" t="s">
        <v>187</v>
      </c>
      <c r="AY50" s="0" t="s">
        <v>328</v>
      </c>
      <c r="AZ50" s="0" t="s">
        <v>329</v>
      </c>
      <c r="BA50" s="0" t="s">
        <v>323</v>
      </c>
      <c r="BB50" s="0" t="s">
        <v>327</v>
      </c>
      <c r="BC50" s="0" t="s">
        <v>330</v>
      </c>
      <c r="BI50" s="0" t="n">
        <v>29108000</v>
      </c>
      <c r="BJ50" s="0" t="n">
        <v>29108000</v>
      </c>
      <c r="BK50" s="0" t="s">
        <v>253</v>
      </c>
      <c r="BL50" s="0" t="s">
        <v>201</v>
      </c>
      <c r="BN50" s="0" t="n">
        <v>10.2</v>
      </c>
      <c r="BO50" s="0" t="n">
        <v>15.73</v>
      </c>
      <c r="BP50" s="0" t="s">
        <v>187</v>
      </c>
      <c r="BQ50" s="0" t="s">
        <v>202</v>
      </c>
      <c r="BR50" s="0" t="s">
        <v>203</v>
      </c>
      <c r="BS50" s="0" t="s">
        <v>331</v>
      </c>
      <c r="BT50" s="0" t="s">
        <v>216</v>
      </c>
      <c r="BU50" s="0" t="s">
        <v>220</v>
      </c>
      <c r="BW50" s="0" t="s">
        <v>206</v>
      </c>
      <c r="BX50" s="0" t="s">
        <v>217</v>
      </c>
      <c r="BY50" s="0" t="n">
        <v>305</v>
      </c>
      <c r="BZ50" s="0" t="n">
        <v>305</v>
      </c>
      <c r="CC50" s="0" t="s">
        <v>209</v>
      </c>
      <c r="CD50" s="0" t="s">
        <v>209</v>
      </c>
      <c r="CE50" s="0" t="s">
        <v>211</v>
      </c>
      <c r="CF50" s="0" t="s">
        <v>211</v>
      </c>
      <c r="CG50" s="0" t="s">
        <v>211</v>
      </c>
      <c r="CH50" s="1" t="n">
        <v>46112</v>
      </c>
      <c r="CI50" s="0" t="n">
        <v>1.2</v>
      </c>
      <c r="CJ50" s="0" t="n">
        <v>1.62</v>
      </c>
      <c r="CK50" s="0" t="n">
        <v>1.7</v>
      </c>
      <c r="CL50" s="0" t="s">
        <v>212</v>
      </c>
      <c r="DA50" s="0" t="n">
        <v>0.58</v>
      </c>
      <c r="DC50" s="0" t="n">
        <v>0.85</v>
      </c>
      <c r="DD50" s="0" t="s">
        <v>212</v>
      </c>
      <c r="ED50" s="0" t="s">
        <v>212</v>
      </c>
      <c r="EE50" s="0" t="n">
        <v>1.05</v>
      </c>
      <c r="EI50" s="0" t="n">
        <v>1.46</v>
      </c>
      <c r="FQ50" s="0" t="n">
        <v>36665988</v>
      </c>
    </row>
    <row r="51" customFormat="false" ht="15" hidden="false" customHeight="false" outlineLevel="0" collapsed="false">
      <c r="B51" s="0" t="str">
        <f aca="false">C51&amp;"x"&amp;I51</f>
        <v>61017x100209</v>
      </c>
      <c r="C51" s="0" t="n">
        <f aca="false">IF(G51="SINGLE",H51,G51)</f>
        <v>61017</v>
      </c>
      <c r="D51" s="0" t="e">
        <f aca="false">_xlfn.XLOOKUP(I51,calculations!$t:$t,calculations!$s:$s)</f>
        <v>#VALUE!</v>
      </c>
      <c r="E51" s="0" t="str">
        <f aca="false">_xlfn.XLOOKUP(I51,Mapping!$T:$T,Mapping!$Q:$Q)</f>
        <v>HARB08</v>
      </c>
      <c r="F51" s="1" t="n">
        <v>46203</v>
      </c>
      <c r="G51" s="0" t="n">
        <v>61017</v>
      </c>
      <c r="H51" s="0" t="n">
        <v>61017</v>
      </c>
      <c r="I51" s="0" t="n">
        <v>100209</v>
      </c>
      <c r="J51" s="0" t="s">
        <v>320</v>
      </c>
      <c r="K51" s="0" t="s">
        <v>274</v>
      </c>
      <c r="L51" s="0" t="s">
        <v>274</v>
      </c>
      <c r="M51" s="0" t="s">
        <v>184</v>
      </c>
      <c r="N51" s="0" t="n">
        <v>30236000</v>
      </c>
      <c r="O51" s="0" t="n">
        <v>30236000</v>
      </c>
      <c r="P51" s="0" t="s">
        <v>185</v>
      </c>
      <c r="Q51" s="0" t="s">
        <v>227</v>
      </c>
      <c r="R51" s="0" t="s">
        <v>202</v>
      </c>
      <c r="S51" s="0" t="s">
        <v>321</v>
      </c>
      <c r="T51" s="0" t="s">
        <v>189</v>
      </c>
      <c r="U51" s="0" t="s">
        <v>322</v>
      </c>
      <c r="V51" s="0" t="s">
        <v>323</v>
      </c>
      <c r="W51" s="0" t="s">
        <v>324</v>
      </c>
      <c r="X51" s="0" t="s">
        <v>325</v>
      </c>
      <c r="Y51" s="0" t="n">
        <v>11.5</v>
      </c>
      <c r="Z51" s="0" t="s">
        <v>185</v>
      </c>
      <c r="AA51" s="0" t="n">
        <v>1</v>
      </c>
      <c r="AB51" s="0" t="s">
        <v>187</v>
      </c>
      <c r="AC51" s="0" t="n">
        <v>30810000</v>
      </c>
      <c r="AD51" s="0" t="n">
        <v>30810000</v>
      </c>
      <c r="AE51" s="0" t="n">
        <v>30810000</v>
      </c>
      <c r="AF51" s="0" t="n">
        <v>0.9814</v>
      </c>
      <c r="AG51" s="0" t="n">
        <v>30236000</v>
      </c>
      <c r="AH51" s="0" t="n">
        <v>30236000</v>
      </c>
      <c r="AI51" s="0" t="n">
        <v>574000</v>
      </c>
      <c r="AJ51" s="0" t="n">
        <v>30810000</v>
      </c>
      <c r="AK51" s="0" t="n">
        <v>30236000</v>
      </c>
      <c r="AL51" s="0" t="n">
        <v>30236000</v>
      </c>
      <c r="AN51" s="0" t="n">
        <v>3.119</v>
      </c>
      <c r="AO51" s="0" t="n">
        <v>4.088</v>
      </c>
      <c r="AP51" s="0" t="n">
        <v>5.873</v>
      </c>
      <c r="AQ51" s="0" t="n">
        <v>100</v>
      </c>
      <c r="AR51" s="0" t="n">
        <v>100</v>
      </c>
      <c r="AS51" s="1" t="n">
        <v>45739</v>
      </c>
      <c r="AT51" s="1" t="n">
        <v>51948</v>
      </c>
      <c r="AU51" s="1" t="n">
        <v>46295</v>
      </c>
      <c r="AV51" s="0" t="s">
        <v>326</v>
      </c>
      <c r="AW51" s="0" t="s">
        <v>327</v>
      </c>
      <c r="AX51" s="0" t="s">
        <v>187</v>
      </c>
      <c r="AY51" s="0" t="s">
        <v>328</v>
      </c>
      <c r="AZ51" s="0" t="s">
        <v>329</v>
      </c>
      <c r="BA51" s="0" t="s">
        <v>323</v>
      </c>
      <c r="BB51" s="0" t="s">
        <v>327</v>
      </c>
      <c r="BC51" s="0" t="s">
        <v>330</v>
      </c>
      <c r="BI51" s="0" t="n">
        <v>30810000</v>
      </c>
      <c r="BJ51" s="0" t="n">
        <v>30810000</v>
      </c>
      <c r="BK51" s="0" t="s">
        <v>253</v>
      </c>
      <c r="BL51" s="0" t="s">
        <v>201</v>
      </c>
      <c r="BN51" s="0" t="n">
        <v>10.2</v>
      </c>
      <c r="BO51" s="0" t="n">
        <v>15.73</v>
      </c>
      <c r="BP51" s="0" t="s">
        <v>187</v>
      </c>
      <c r="BQ51" s="0" t="s">
        <v>202</v>
      </c>
      <c r="BR51" s="0" t="s">
        <v>203</v>
      </c>
      <c r="BS51" s="0" t="s">
        <v>331</v>
      </c>
      <c r="BT51" s="0" t="s">
        <v>216</v>
      </c>
      <c r="BU51" s="0" t="s">
        <v>220</v>
      </c>
      <c r="BW51" s="0" t="s">
        <v>257</v>
      </c>
      <c r="BX51" s="0" t="s">
        <v>207</v>
      </c>
      <c r="BY51" s="0" t="n">
        <v>305</v>
      </c>
      <c r="BZ51" s="0" t="n">
        <v>305</v>
      </c>
      <c r="CC51" s="0" t="s">
        <v>209</v>
      </c>
      <c r="CD51" s="0" t="s">
        <v>209</v>
      </c>
      <c r="CE51" s="0" t="s">
        <v>211</v>
      </c>
      <c r="CF51" s="0" t="s">
        <v>211</v>
      </c>
      <c r="CG51" s="0" t="s">
        <v>211</v>
      </c>
      <c r="CH51" s="1" t="n">
        <v>46112</v>
      </c>
      <c r="CI51" s="0" t="n">
        <v>1.2</v>
      </c>
      <c r="CJ51" s="0" t="n">
        <v>2.94</v>
      </c>
      <c r="CK51" s="0" t="n">
        <v>3.09</v>
      </c>
      <c r="CL51" s="0" t="s">
        <v>212</v>
      </c>
      <c r="DA51" s="0" t="n">
        <v>0.72</v>
      </c>
      <c r="DC51" s="0" t="n">
        <v>0.85</v>
      </c>
      <c r="DD51" s="0" t="s">
        <v>212</v>
      </c>
      <c r="ED51" s="0" t="s">
        <v>212</v>
      </c>
      <c r="EE51" s="0" t="n">
        <v>1.05</v>
      </c>
      <c r="EI51" s="0" t="n">
        <v>1.38</v>
      </c>
      <c r="FQ51" s="0" t="n">
        <v>37799275</v>
      </c>
    </row>
    <row r="52" customFormat="false" ht="15" hidden="false" customHeight="false" outlineLevel="0" collapsed="false">
      <c r="B52" s="0" t="str">
        <f aca="false">C52&amp;"x"&amp;I52</f>
        <v>61015x100209</v>
      </c>
      <c r="C52" s="0" t="n">
        <f aca="false">IF(G52="SINGLE",H52,G52)</f>
        <v>61015</v>
      </c>
      <c r="D52" s="0" t="e">
        <f aca="false">_xlfn.XLOOKUP(I52,calculations!$t:$t,calculations!$s:$s)</f>
        <v>#VALUE!</v>
      </c>
      <c r="E52" s="0" t="str">
        <f aca="false">_xlfn.XLOOKUP(I52,Mapping!$T:$T,Mapping!$Q:$Q)</f>
        <v>HARB08</v>
      </c>
      <c r="F52" s="1" t="n">
        <v>46203</v>
      </c>
      <c r="G52" s="0" t="n">
        <v>61015</v>
      </c>
      <c r="H52" s="0" t="n">
        <v>61015</v>
      </c>
      <c r="I52" s="0" t="n">
        <v>100209</v>
      </c>
      <c r="J52" s="0" t="s">
        <v>320</v>
      </c>
      <c r="K52" s="0" t="s">
        <v>215</v>
      </c>
      <c r="L52" s="0" t="s">
        <v>215</v>
      </c>
      <c r="M52" s="0" t="s">
        <v>184</v>
      </c>
      <c r="N52" s="0" t="n">
        <v>17602000</v>
      </c>
      <c r="O52" s="0" t="n">
        <v>17602000</v>
      </c>
      <c r="P52" s="0" t="s">
        <v>185</v>
      </c>
      <c r="Q52" s="0" t="s">
        <v>227</v>
      </c>
      <c r="R52" s="0" t="s">
        <v>202</v>
      </c>
      <c r="S52" s="0" t="s">
        <v>321</v>
      </c>
      <c r="T52" s="0" t="s">
        <v>189</v>
      </c>
      <c r="U52" s="0" t="s">
        <v>322</v>
      </c>
      <c r="V52" s="0" t="s">
        <v>323</v>
      </c>
      <c r="W52" s="0" t="s">
        <v>324</v>
      </c>
      <c r="X52" s="0" t="s">
        <v>325</v>
      </c>
      <c r="Y52" s="0" t="n">
        <v>11.5</v>
      </c>
      <c r="Z52" s="0" t="s">
        <v>185</v>
      </c>
      <c r="AA52" s="0" t="n">
        <v>1</v>
      </c>
      <c r="AB52" s="0" t="s">
        <v>187</v>
      </c>
      <c r="AC52" s="0" t="n">
        <v>17936000</v>
      </c>
      <c r="AD52" s="0" t="n">
        <v>17936000</v>
      </c>
      <c r="AE52" s="0" t="n">
        <v>17936000</v>
      </c>
      <c r="AF52" s="0" t="n">
        <v>0.9814</v>
      </c>
      <c r="AG52" s="0" t="n">
        <v>17602000</v>
      </c>
      <c r="AH52" s="0" t="n">
        <v>17602000</v>
      </c>
      <c r="AI52" s="0" t="n">
        <v>334000</v>
      </c>
      <c r="AJ52" s="0" t="n">
        <v>17936000</v>
      </c>
      <c r="AK52" s="0" t="n">
        <v>17602000</v>
      </c>
      <c r="AL52" s="0" t="n">
        <v>17602000</v>
      </c>
      <c r="AN52" s="0" t="n">
        <v>4.338</v>
      </c>
      <c r="AO52" s="0" t="n">
        <v>5.936</v>
      </c>
      <c r="AP52" s="0" t="n">
        <v>5.371</v>
      </c>
      <c r="AQ52" s="0" t="n">
        <v>100</v>
      </c>
      <c r="AR52" s="0" t="n">
        <v>100</v>
      </c>
      <c r="AS52" s="1" t="n">
        <v>45739</v>
      </c>
      <c r="AT52" s="1" t="n">
        <v>51948</v>
      </c>
      <c r="AU52" s="1" t="n">
        <v>46295</v>
      </c>
      <c r="AV52" s="0" t="s">
        <v>326</v>
      </c>
      <c r="AW52" s="0" t="s">
        <v>327</v>
      </c>
      <c r="AX52" s="0" t="s">
        <v>187</v>
      </c>
      <c r="AY52" s="0" t="s">
        <v>328</v>
      </c>
      <c r="AZ52" s="0" t="s">
        <v>329</v>
      </c>
      <c r="BA52" s="0" t="s">
        <v>323</v>
      </c>
      <c r="BB52" s="0" t="s">
        <v>327</v>
      </c>
      <c r="BC52" s="0" t="s">
        <v>330</v>
      </c>
      <c r="BI52" s="0" t="n">
        <v>17936000</v>
      </c>
      <c r="BJ52" s="0" t="n">
        <v>17936000</v>
      </c>
      <c r="BK52" s="0" t="s">
        <v>253</v>
      </c>
      <c r="BL52" s="0" t="s">
        <v>201</v>
      </c>
      <c r="BN52" s="0" t="n">
        <v>10.2</v>
      </c>
      <c r="BO52" s="0" t="n">
        <v>15.73</v>
      </c>
      <c r="BP52" s="0" t="s">
        <v>187</v>
      </c>
      <c r="BQ52" s="0" t="s">
        <v>202</v>
      </c>
      <c r="BR52" s="0" t="s">
        <v>203</v>
      </c>
      <c r="BS52" s="0" t="s">
        <v>331</v>
      </c>
      <c r="BT52" s="0" t="s">
        <v>216</v>
      </c>
      <c r="BU52" s="0" t="s">
        <v>220</v>
      </c>
      <c r="BW52" s="0" t="s">
        <v>257</v>
      </c>
      <c r="BX52" s="0" t="s">
        <v>207</v>
      </c>
      <c r="BY52" s="0" t="n">
        <v>305</v>
      </c>
      <c r="BZ52" s="0" t="n">
        <v>305</v>
      </c>
      <c r="CC52" s="0" t="s">
        <v>209</v>
      </c>
      <c r="CD52" s="0" t="s">
        <v>209</v>
      </c>
      <c r="CE52" s="0" t="s">
        <v>211</v>
      </c>
      <c r="CF52" s="0" t="s">
        <v>211</v>
      </c>
      <c r="CG52" s="0" t="s">
        <v>211</v>
      </c>
      <c r="CH52" s="1" t="n">
        <v>46112</v>
      </c>
      <c r="CI52" s="0" t="n">
        <v>1.2</v>
      </c>
      <c r="CJ52" s="0" t="n">
        <v>3.25</v>
      </c>
      <c r="CK52" s="0" t="n">
        <v>3.41</v>
      </c>
      <c r="CL52" s="0" t="s">
        <v>212</v>
      </c>
      <c r="DA52" s="0" t="n">
        <v>0.67</v>
      </c>
      <c r="DC52" s="0" t="n">
        <v>0.85</v>
      </c>
      <c r="DD52" s="0" t="s">
        <v>212</v>
      </c>
      <c r="ED52" s="0" t="s">
        <v>212</v>
      </c>
      <c r="EE52" s="0" t="n">
        <v>1.05</v>
      </c>
      <c r="EI52" s="0" t="n">
        <v>1.89</v>
      </c>
      <c r="FQ52" s="0" t="n">
        <v>36275326</v>
      </c>
    </row>
    <row r="53" customFormat="false" ht="15" hidden="false" customHeight="false" outlineLevel="0" collapsed="false">
      <c r="B53" s="0" t="str">
        <f aca="false">C53&amp;"x"&amp;I53</f>
        <v>61012x100209</v>
      </c>
      <c r="C53" s="0" t="n">
        <f aca="false">IF(G53="SINGLE",H53,G53)</f>
        <v>61012</v>
      </c>
      <c r="D53" s="0" t="e">
        <f aca="false">_xlfn.XLOOKUP(I53,calculations!$t:$t,calculations!$s:$s)</f>
        <v>#VALUE!</v>
      </c>
      <c r="E53" s="0" t="str">
        <f aca="false">_xlfn.XLOOKUP(I53,Mapping!$T:$T,Mapping!$Q:$Q)</f>
        <v>HARB08</v>
      </c>
      <c r="F53" s="1" t="n">
        <v>46203</v>
      </c>
      <c r="G53" s="0" t="n">
        <v>61012</v>
      </c>
      <c r="H53" s="0" t="n">
        <v>61012</v>
      </c>
      <c r="I53" s="0" t="n">
        <v>100209</v>
      </c>
      <c r="J53" s="0" t="s">
        <v>320</v>
      </c>
      <c r="K53" s="0" t="s">
        <v>332</v>
      </c>
      <c r="L53" s="0" t="s">
        <v>332</v>
      </c>
      <c r="M53" s="0" t="s">
        <v>184</v>
      </c>
      <c r="N53" s="0" t="n">
        <v>20372000</v>
      </c>
      <c r="O53" s="0" t="n">
        <v>20372000</v>
      </c>
      <c r="P53" s="0" t="s">
        <v>219</v>
      </c>
      <c r="Q53" s="0" t="s">
        <v>227</v>
      </c>
      <c r="R53" s="0" t="s">
        <v>202</v>
      </c>
      <c r="S53" s="0" t="s">
        <v>321</v>
      </c>
      <c r="T53" s="0" t="s">
        <v>189</v>
      </c>
      <c r="U53" s="0" t="s">
        <v>322</v>
      </c>
      <c r="V53" s="0" t="s">
        <v>323</v>
      </c>
      <c r="W53" s="0" t="s">
        <v>324</v>
      </c>
      <c r="X53" s="0" t="s">
        <v>325</v>
      </c>
      <c r="Y53" s="0" t="n">
        <v>11.5</v>
      </c>
      <c r="Z53" s="0" t="s">
        <v>185</v>
      </c>
      <c r="AA53" s="0" t="n">
        <v>1</v>
      </c>
      <c r="AB53" s="0" t="s">
        <v>187</v>
      </c>
      <c r="AC53" s="0" t="n">
        <v>20759000</v>
      </c>
      <c r="AD53" s="0" t="n">
        <v>20759000</v>
      </c>
      <c r="AE53" s="0" t="n">
        <v>20759000</v>
      </c>
      <c r="AF53" s="0" t="n">
        <v>0.9814</v>
      </c>
      <c r="AG53" s="0" t="n">
        <v>20372000</v>
      </c>
      <c r="AH53" s="0" t="n">
        <v>20372000</v>
      </c>
      <c r="AI53" s="0" t="n">
        <v>387000</v>
      </c>
      <c r="AJ53" s="0" t="n">
        <v>20759000</v>
      </c>
      <c r="AK53" s="0" t="n">
        <v>20372000</v>
      </c>
      <c r="AL53" s="0" t="n">
        <v>20372000</v>
      </c>
      <c r="AN53" s="0" t="n">
        <v>5.736</v>
      </c>
      <c r="AO53" s="0" t="n">
        <v>5.814</v>
      </c>
      <c r="AP53" s="0" t="n">
        <v>5.126</v>
      </c>
      <c r="AQ53" s="0" t="n">
        <v>100</v>
      </c>
      <c r="AR53" s="0" t="n">
        <v>100</v>
      </c>
      <c r="AS53" s="1" t="n">
        <v>45739</v>
      </c>
      <c r="AT53" s="1" t="n">
        <v>51948</v>
      </c>
      <c r="AU53" s="1" t="n">
        <v>46295</v>
      </c>
      <c r="AV53" s="0" t="s">
        <v>326</v>
      </c>
      <c r="AW53" s="0" t="s">
        <v>327</v>
      </c>
      <c r="AX53" s="0" t="s">
        <v>187</v>
      </c>
      <c r="AY53" s="0" t="s">
        <v>328</v>
      </c>
      <c r="AZ53" s="0" t="s">
        <v>329</v>
      </c>
      <c r="BA53" s="0" t="s">
        <v>323</v>
      </c>
      <c r="BB53" s="0" t="s">
        <v>327</v>
      </c>
      <c r="BC53" s="0" t="s">
        <v>330</v>
      </c>
      <c r="BI53" s="0" t="n">
        <v>20759000</v>
      </c>
      <c r="BJ53" s="0" t="n">
        <v>20759000</v>
      </c>
      <c r="BK53" s="0" t="s">
        <v>253</v>
      </c>
      <c r="BL53" s="0" t="s">
        <v>201</v>
      </c>
      <c r="BN53" s="0" t="n">
        <v>10.2</v>
      </c>
      <c r="BO53" s="0" t="n">
        <v>15.73</v>
      </c>
      <c r="BP53" s="0" t="s">
        <v>187</v>
      </c>
      <c r="BQ53" s="0" t="s">
        <v>202</v>
      </c>
      <c r="BR53" s="0" t="s">
        <v>203</v>
      </c>
      <c r="BS53" s="0" t="s">
        <v>331</v>
      </c>
      <c r="BT53" s="0" t="s">
        <v>216</v>
      </c>
      <c r="BU53" s="0" t="s">
        <v>216</v>
      </c>
      <c r="BW53" s="0" t="s">
        <v>206</v>
      </c>
      <c r="BX53" s="0" t="s">
        <v>217</v>
      </c>
      <c r="BY53" s="0" t="n">
        <v>305</v>
      </c>
      <c r="BZ53" s="0" t="n">
        <v>305</v>
      </c>
      <c r="CC53" s="0" t="s">
        <v>209</v>
      </c>
      <c r="CD53" s="0" t="s">
        <v>209</v>
      </c>
      <c r="CE53" s="0" t="s">
        <v>211</v>
      </c>
      <c r="CF53" s="0" t="s">
        <v>211</v>
      </c>
      <c r="CG53" s="0" t="s">
        <v>211</v>
      </c>
      <c r="CH53" s="1" t="n">
        <v>46112</v>
      </c>
      <c r="CI53" s="0" t="n">
        <v>1.2</v>
      </c>
      <c r="CJ53" s="0" t="n">
        <v>2.87</v>
      </c>
      <c r="CK53" s="0" t="n">
        <v>3.01</v>
      </c>
      <c r="CL53" s="0" t="s">
        <v>212</v>
      </c>
      <c r="DA53" s="0" t="n">
        <v>0.5</v>
      </c>
      <c r="DC53" s="0" t="n">
        <v>0.85</v>
      </c>
      <c r="DD53" s="0" t="s">
        <v>212</v>
      </c>
      <c r="ED53" s="0" t="s">
        <v>212</v>
      </c>
      <c r="EE53" s="0" t="n">
        <v>1.05</v>
      </c>
      <c r="EI53" s="0" t="n">
        <v>1.37</v>
      </c>
      <c r="FQ53" s="0" t="n">
        <v>43760510</v>
      </c>
    </row>
    <row r="54" customFormat="false" ht="15" hidden="false" customHeight="false" outlineLevel="0" collapsed="false">
      <c r="B54" s="0" t="str">
        <f aca="false">C54&amp;"x"&amp;I54</f>
        <v>61002x100209</v>
      </c>
      <c r="C54" s="0" t="n">
        <f aca="false">IF(G54="SINGLE",H54,G54)</f>
        <v>61002</v>
      </c>
      <c r="D54" s="0" t="e">
        <f aca="false">_xlfn.XLOOKUP(I54,calculations!$t:$t,calculations!$s:$s)</f>
        <v>#VALUE!</v>
      </c>
      <c r="E54" s="0" t="str">
        <f aca="false">_xlfn.XLOOKUP(I54,Mapping!$T:$T,Mapping!$Q:$Q)</f>
        <v>HARB08</v>
      </c>
      <c r="F54" s="1" t="n">
        <v>46203</v>
      </c>
      <c r="G54" s="0" t="n">
        <v>61002</v>
      </c>
      <c r="H54" s="0" t="n">
        <v>61002</v>
      </c>
      <c r="I54" s="0" t="n">
        <v>100209</v>
      </c>
      <c r="J54" s="0" t="s">
        <v>320</v>
      </c>
      <c r="K54" s="0" t="s">
        <v>333</v>
      </c>
      <c r="L54" s="0" t="s">
        <v>333</v>
      </c>
      <c r="M54" s="0" t="s">
        <v>184</v>
      </c>
      <c r="N54" s="0" t="n">
        <v>29139000</v>
      </c>
      <c r="O54" s="0" t="n">
        <v>29139000</v>
      </c>
      <c r="P54" s="0" t="s">
        <v>185</v>
      </c>
      <c r="Q54" s="0" t="s">
        <v>227</v>
      </c>
      <c r="R54" s="0" t="s">
        <v>202</v>
      </c>
      <c r="S54" s="0" t="s">
        <v>321</v>
      </c>
      <c r="T54" s="0" t="s">
        <v>189</v>
      </c>
      <c r="U54" s="0" t="s">
        <v>322</v>
      </c>
      <c r="V54" s="0" t="s">
        <v>323</v>
      </c>
      <c r="W54" s="0" t="s">
        <v>324</v>
      </c>
      <c r="X54" s="0" t="s">
        <v>325</v>
      </c>
      <c r="Y54" s="0" t="n">
        <v>11.5</v>
      </c>
      <c r="Z54" s="0" t="s">
        <v>185</v>
      </c>
      <c r="AA54" s="0" t="n">
        <v>1</v>
      </c>
      <c r="AB54" s="0" t="s">
        <v>187</v>
      </c>
      <c r="AC54" s="0" t="n">
        <v>29692000</v>
      </c>
      <c r="AD54" s="0" t="n">
        <v>29692000</v>
      </c>
      <c r="AE54" s="0" t="n">
        <v>29692000</v>
      </c>
      <c r="AF54" s="0" t="n">
        <v>0.9814</v>
      </c>
      <c r="AG54" s="0" t="n">
        <v>29139000</v>
      </c>
      <c r="AH54" s="0" t="n">
        <v>29139000</v>
      </c>
      <c r="AI54" s="0" t="n">
        <v>553000</v>
      </c>
      <c r="AJ54" s="0" t="n">
        <v>29692000</v>
      </c>
      <c r="AK54" s="0" t="n">
        <v>29139000</v>
      </c>
      <c r="AL54" s="0" t="n">
        <v>29139000</v>
      </c>
      <c r="AN54" s="0" t="n">
        <v>4.927</v>
      </c>
      <c r="AO54" s="0" t="n">
        <v>4.887</v>
      </c>
      <c r="AP54" s="0" t="n">
        <v>5.803</v>
      </c>
      <c r="AQ54" s="0" t="n">
        <v>100</v>
      </c>
      <c r="AR54" s="0" t="n">
        <v>100</v>
      </c>
      <c r="AS54" s="1" t="n">
        <v>45739</v>
      </c>
      <c r="AT54" s="1" t="n">
        <v>51948</v>
      </c>
      <c r="AU54" s="1" t="n">
        <v>46295</v>
      </c>
      <c r="AV54" s="0" t="s">
        <v>326</v>
      </c>
      <c r="AW54" s="0" t="s">
        <v>327</v>
      </c>
      <c r="AX54" s="0" t="s">
        <v>187</v>
      </c>
      <c r="AY54" s="0" t="s">
        <v>328</v>
      </c>
      <c r="AZ54" s="0" t="s">
        <v>329</v>
      </c>
      <c r="BA54" s="0" t="s">
        <v>323</v>
      </c>
      <c r="BB54" s="0" t="s">
        <v>327</v>
      </c>
      <c r="BC54" s="0" t="s">
        <v>330</v>
      </c>
      <c r="BI54" s="0" t="n">
        <v>29692000</v>
      </c>
      <c r="BJ54" s="0" t="n">
        <v>29692000</v>
      </c>
      <c r="BK54" s="0" t="s">
        <v>253</v>
      </c>
      <c r="BL54" s="0" t="s">
        <v>201</v>
      </c>
      <c r="BN54" s="0" t="n">
        <v>10.2</v>
      </c>
      <c r="BO54" s="0" t="n">
        <v>15.73</v>
      </c>
      <c r="BP54" s="0" t="s">
        <v>187</v>
      </c>
      <c r="BQ54" s="0" t="s">
        <v>202</v>
      </c>
      <c r="BR54" s="0" t="s">
        <v>203</v>
      </c>
      <c r="BS54" s="0" t="s">
        <v>331</v>
      </c>
      <c r="BT54" s="0" t="s">
        <v>216</v>
      </c>
      <c r="BU54" s="0" t="s">
        <v>255</v>
      </c>
      <c r="BW54" s="0" t="s">
        <v>257</v>
      </c>
      <c r="BX54" s="0" t="s">
        <v>207</v>
      </c>
      <c r="BY54" s="0" t="n">
        <v>305</v>
      </c>
      <c r="BZ54" s="0" t="n">
        <v>305</v>
      </c>
      <c r="CC54" s="0" t="s">
        <v>209</v>
      </c>
      <c r="CD54" s="0" t="s">
        <v>209</v>
      </c>
      <c r="CE54" s="0" t="s">
        <v>211</v>
      </c>
      <c r="CF54" s="0" t="s">
        <v>211</v>
      </c>
      <c r="CG54" s="0" t="s">
        <v>211</v>
      </c>
      <c r="CH54" s="1" t="n">
        <v>46112</v>
      </c>
      <c r="CI54" s="0" t="n">
        <v>1.2</v>
      </c>
      <c r="CJ54" s="0" t="n">
        <v>2.76</v>
      </c>
      <c r="CK54" s="0" t="n">
        <v>2.9</v>
      </c>
      <c r="CL54" s="0" t="s">
        <v>212</v>
      </c>
      <c r="DA54" s="0" t="n">
        <v>0.46</v>
      </c>
      <c r="DC54" s="0" t="n">
        <v>0.85</v>
      </c>
      <c r="DD54" s="0" t="s">
        <v>212</v>
      </c>
      <c r="ED54" s="0" t="s">
        <v>213</v>
      </c>
      <c r="EE54" s="0" t="n">
        <v>1.05</v>
      </c>
      <c r="EI54" s="0" t="n">
        <v>1.16</v>
      </c>
      <c r="FQ54" s="0" t="n">
        <v>26735204</v>
      </c>
    </row>
    <row r="55" customFormat="false" ht="15" hidden="false" customHeight="false" outlineLevel="0" collapsed="false">
      <c r="B55" s="0" t="str">
        <f aca="false">C55&amp;"x"&amp;I55</f>
        <v>61005x100210</v>
      </c>
      <c r="C55" s="0" t="n">
        <f aca="false">IF(G55="SINGLE",H55,G55)</f>
        <v>61005</v>
      </c>
      <c r="D55" s="0" t="e">
        <f aca="false">_xlfn.XLOOKUP(I55,calculations!$t:$t,calculations!$s:$s)</f>
        <v>#VALUE!</v>
      </c>
      <c r="E55" s="0" t="str">
        <f aca="false">_xlfn.XLOOKUP(I55,Mapping!$T:$T,Mapping!$Q:$Q)</f>
        <v>IRIS09</v>
      </c>
      <c r="F55" s="1" t="n">
        <v>46203</v>
      </c>
      <c r="G55" s="0" t="n">
        <v>61005</v>
      </c>
      <c r="H55" s="0" t="n">
        <v>61005</v>
      </c>
      <c r="I55" s="0" t="n">
        <v>100210</v>
      </c>
      <c r="J55" s="0" t="s">
        <v>334</v>
      </c>
      <c r="K55" s="0" t="s">
        <v>275</v>
      </c>
      <c r="L55" s="0" t="s">
        <v>275</v>
      </c>
      <c r="M55" s="0" t="s">
        <v>184</v>
      </c>
      <c r="N55" s="0" t="n">
        <v>24364000</v>
      </c>
      <c r="O55" s="0" t="n">
        <v>28495906.43</v>
      </c>
      <c r="P55" s="0" t="s">
        <v>185</v>
      </c>
      <c r="Q55" s="0" t="s">
        <v>227</v>
      </c>
      <c r="R55" s="0" t="s">
        <v>187</v>
      </c>
      <c r="S55" s="0" t="s">
        <v>335</v>
      </c>
      <c r="T55" s="0" t="s">
        <v>189</v>
      </c>
      <c r="U55" s="0" t="s">
        <v>229</v>
      </c>
      <c r="V55" s="0" t="s">
        <v>230</v>
      </c>
      <c r="W55" s="0" t="s">
        <v>336</v>
      </c>
      <c r="X55" s="0" t="s">
        <v>337</v>
      </c>
      <c r="Y55" s="0" t="n">
        <v>13.2</v>
      </c>
      <c r="Z55" s="0" t="s">
        <v>219</v>
      </c>
      <c r="AA55" s="0" t="n">
        <v>0.855</v>
      </c>
      <c r="AB55" s="0" t="s">
        <v>202</v>
      </c>
      <c r="AC55" s="0" t="n">
        <v>24896000</v>
      </c>
      <c r="AD55" s="0" t="n">
        <v>24896000</v>
      </c>
      <c r="AE55" s="0" t="n">
        <v>29118128.65</v>
      </c>
      <c r="AF55" s="0" t="n">
        <v>0.9786</v>
      </c>
      <c r="AG55" s="0" t="n">
        <v>24364000</v>
      </c>
      <c r="AH55" s="0" t="n">
        <v>24364000</v>
      </c>
      <c r="AI55" s="0" t="n">
        <v>532000</v>
      </c>
      <c r="AJ55" s="0" t="n">
        <v>24896000</v>
      </c>
      <c r="AK55" s="0" t="n">
        <v>24364000</v>
      </c>
      <c r="AL55" s="0" t="n">
        <v>24364000</v>
      </c>
      <c r="AN55" s="0" t="n">
        <v>4.614</v>
      </c>
      <c r="AO55" s="0" t="n">
        <v>4.45</v>
      </c>
      <c r="AP55" s="0" t="n">
        <v>4.703</v>
      </c>
      <c r="AQ55" s="0" t="n">
        <v>100</v>
      </c>
      <c r="AR55" s="0" t="n">
        <v>100</v>
      </c>
      <c r="AS55" s="1" t="n">
        <v>42538</v>
      </c>
      <c r="AT55" s="1" t="n">
        <v>52034</v>
      </c>
      <c r="AU55" s="1" t="n">
        <v>46295</v>
      </c>
      <c r="AV55" s="0" t="s">
        <v>338</v>
      </c>
      <c r="AW55" s="0" t="s">
        <v>299</v>
      </c>
      <c r="AX55" s="0" t="s">
        <v>187</v>
      </c>
      <c r="AY55" s="0" t="s">
        <v>339</v>
      </c>
      <c r="AZ55" s="0" t="s">
        <v>340</v>
      </c>
      <c r="BA55" s="0" t="s">
        <v>230</v>
      </c>
      <c r="BB55" s="0" t="s">
        <v>299</v>
      </c>
      <c r="BC55" s="0" t="s">
        <v>341</v>
      </c>
      <c r="BI55" s="0" t="n">
        <v>24896000</v>
      </c>
      <c r="BJ55" s="0" t="n">
        <v>29118128.65</v>
      </c>
      <c r="BK55" s="0" t="s">
        <v>253</v>
      </c>
      <c r="BL55" s="0" t="s">
        <v>201</v>
      </c>
      <c r="BN55" s="0" t="n">
        <v>15.6</v>
      </c>
      <c r="BO55" s="0" t="n">
        <v>15.96</v>
      </c>
      <c r="BP55" s="0" t="s">
        <v>187</v>
      </c>
      <c r="BQ55" s="0" t="s">
        <v>187</v>
      </c>
      <c r="BR55" s="0" t="s">
        <v>203</v>
      </c>
      <c r="BS55" s="0" t="s">
        <v>342</v>
      </c>
      <c r="BT55" s="0" t="s">
        <v>216</v>
      </c>
      <c r="BU55" s="0" t="s">
        <v>224</v>
      </c>
      <c r="BW55" s="0" t="s">
        <v>257</v>
      </c>
      <c r="BX55" s="0" t="s">
        <v>207</v>
      </c>
      <c r="BY55" s="0" t="n">
        <v>245</v>
      </c>
      <c r="BZ55" s="0" t="n">
        <v>245</v>
      </c>
      <c r="CC55" s="0" t="s">
        <v>210</v>
      </c>
      <c r="CD55" s="0" t="s">
        <v>210</v>
      </c>
      <c r="CE55" s="0" t="s">
        <v>211</v>
      </c>
      <c r="CF55" s="0" t="s">
        <v>211</v>
      </c>
      <c r="CG55" s="0" t="s">
        <v>211</v>
      </c>
      <c r="CH55" s="1" t="n">
        <v>46112</v>
      </c>
      <c r="CI55" s="0" t="n">
        <v>1.2</v>
      </c>
      <c r="CJ55" s="0" t="n">
        <v>2.38</v>
      </c>
      <c r="CK55" s="0" t="n">
        <v>2.5</v>
      </c>
      <c r="CL55" s="0" t="s">
        <v>212</v>
      </c>
      <c r="DA55" s="0" t="n">
        <v>0.58</v>
      </c>
      <c r="DC55" s="0" t="n">
        <v>0.85</v>
      </c>
      <c r="DD55" s="0" t="s">
        <v>212</v>
      </c>
      <c r="ED55" s="0" t="s">
        <v>212</v>
      </c>
      <c r="EE55" s="0" t="n">
        <v>1.05</v>
      </c>
      <c r="EI55" s="0" t="n">
        <v>1.87</v>
      </c>
      <c r="FQ55" s="0" t="n">
        <v>105085150</v>
      </c>
    </row>
    <row r="56" customFormat="false" ht="15" hidden="false" customHeight="false" outlineLevel="0" collapsed="false">
      <c r="B56" s="0" t="str">
        <f aca="false">C56&amp;"x"&amp;I56</f>
        <v>61003x100210</v>
      </c>
      <c r="C56" s="0" t="n">
        <f aca="false">IF(G56="SINGLE",H56,G56)</f>
        <v>61003</v>
      </c>
      <c r="D56" s="0" t="e">
        <f aca="false">_xlfn.XLOOKUP(I56,calculations!$t:$t,calculations!$s:$s)</f>
        <v>#VALUE!</v>
      </c>
      <c r="E56" s="0" t="str">
        <f aca="false">_xlfn.XLOOKUP(I56,Mapping!$T:$T,Mapping!$Q:$Q)</f>
        <v>IRIS09</v>
      </c>
      <c r="F56" s="1" t="n">
        <v>46203</v>
      </c>
      <c r="G56" s="0" t="n">
        <v>61003</v>
      </c>
      <c r="H56" s="0" t="n">
        <v>61003</v>
      </c>
      <c r="I56" s="0" t="n">
        <v>100210</v>
      </c>
      <c r="J56" s="0" t="s">
        <v>334</v>
      </c>
      <c r="K56" s="0" t="s">
        <v>226</v>
      </c>
      <c r="L56" s="0" t="s">
        <v>226</v>
      </c>
      <c r="M56" s="0" t="s">
        <v>184</v>
      </c>
      <c r="N56" s="0" t="n">
        <v>33454000</v>
      </c>
      <c r="O56" s="0" t="n">
        <v>39127485.38</v>
      </c>
      <c r="P56" s="0" t="s">
        <v>185</v>
      </c>
      <c r="Q56" s="0" t="s">
        <v>227</v>
      </c>
      <c r="R56" s="0" t="s">
        <v>187</v>
      </c>
      <c r="S56" s="0" t="s">
        <v>335</v>
      </c>
      <c r="T56" s="0" t="s">
        <v>189</v>
      </c>
      <c r="U56" s="0" t="s">
        <v>229</v>
      </c>
      <c r="V56" s="0" t="s">
        <v>230</v>
      </c>
      <c r="W56" s="0" t="s">
        <v>336</v>
      </c>
      <c r="X56" s="0" t="s">
        <v>337</v>
      </c>
      <c r="Y56" s="0" t="n">
        <v>13.2</v>
      </c>
      <c r="Z56" s="0" t="s">
        <v>219</v>
      </c>
      <c r="AA56" s="0" t="n">
        <v>0.855</v>
      </c>
      <c r="AB56" s="0" t="s">
        <v>202</v>
      </c>
      <c r="AC56" s="0" t="n">
        <v>34184000</v>
      </c>
      <c r="AD56" s="0" t="n">
        <v>34184000</v>
      </c>
      <c r="AE56" s="0" t="n">
        <v>39981286.55</v>
      </c>
      <c r="AF56" s="0" t="n">
        <v>0.9786</v>
      </c>
      <c r="AG56" s="0" t="n">
        <v>33454000</v>
      </c>
      <c r="AH56" s="0" t="n">
        <v>33454000</v>
      </c>
      <c r="AI56" s="0" t="n">
        <v>730000</v>
      </c>
      <c r="AJ56" s="0" t="n">
        <v>34184000</v>
      </c>
      <c r="AK56" s="0" t="n">
        <v>33454000</v>
      </c>
      <c r="AL56" s="0" t="n">
        <v>33454000</v>
      </c>
      <c r="AN56" s="0" t="n">
        <v>3.441</v>
      </c>
      <c r="AO56" s="0" t="n">
        <v>5.064</v>
      </c>
      <c r="AP56" s="0" t="n">
        <v>4.327</v>
      </c>
      <c r="AQ56" s="0" t="n">
        <v>100</v>
      </c>
      <c r="AR56" s="0" t="n">
        <v>100</v>
      </c>
      <c r="AS56" s="1" t="n">
        <v>42538</v>
      </c>
      <c r="AT56" s="1" t="n">
        <v>52034</v>
      </c>
      <c r="AU56" s="1" t="n">
        <v>46295</v>
      </c>
      <c r="AV56" s="0" t="s">
        <v>338</v>
      </c>
      <c r="AW56" s="0" t="s">
        <v>299</v>
      </c>
      <c r="AX56" s="0" t="s">
        <v>187</v>
      </c>
      <c r="AY56" s="0" t="s">
        <v>339</v>
      </c>
      <c r="AZ56" s="0" t="s">
        <v>340</v>
      </c>
      <c r="BA56" s="0" t="s">
        <v>230</v>
      </c>
      <c r="BB56" s="0" t="s">
        <v>299</v>
      </c>
      <c r="BC56" s="0" t="s">
        <v>341</v>
      </c>
      <c r="BI56" s="0" t="n">
        <v>34184000</v>
      </c>
      <c r="BJ56" s="0" t="n">
        <v>39981286.55</v>
      </c>
      <c r="BK56" s="0" t="s">
        <v>253</v>
      </c>
      <c r="BL56" s="0" t="s">
        <v>201</v>
      </c>
      <c r="BN56" s="0" t="n">
        <v>15.6</v>
      </c>
      <c r="BO56" s="0" t="n">
        <v>15.96</v>
      </c>
      <c r="BP56" s="0" t="s">
        <v>187</v>
      </c>
      <c r="BQ56" s="0" t="s">
        <v>187</v>
      </c>
      <c r="BR56" s="0" t="s">
        <v>203</v>
      </c>
      <c r="BS56" s="0" t="s">
        <v>342</v>
      </c>
      <c r="BT56" s="0" t="s">
        <v>216</v>
      </c>
      <c r="BU56" s="0" t="s">
        <v>269</v>
      </c>
      <c r="BW56" s="0" t="s">
        <v>257</v>
      </c>
      <c r="BX56" s="0" t="s">
        <v>207</v>
      </c>
      <c r="BY56" s="0" t="n">
        <v>245</v>
      </c>
      <c r="BZ56" s="0" t="n">
        <v>245</v>
      </c>
      <c r="CC56" s="0" t="s">
        <v>210</v>
      </c>
      <c r="CD56" s="0" t="s">
        <v>210</v>
      </c>
      <c r="CE56" s="0" t="s">
        <v>211</v>
      </c>
      <c r="CF56" s="0" t="s">
        <v>211</v>
      </c>
      <c r="CG56" s="0" t="s">
        <v>211</v>
      </c>
      <c r="CH56" s="1" t="n">
        <v>46112</v>
      </c>
      <c r="CI56" s="0" t="n">
        <v>1.2</v>
      </c>
      <c r="CJ56" s="0" t="n">
        <v>1.98</v>
      </c>
      <c r="CK56" s="0" t="n">
        <v>2.08</v>
      </c>
      <c r="CL56" s="0" t="s">
        <v>212</v>
      </c>
      <c r="DA56" s="0" t="n">
        <v>0.83</v>
      </c>
      <c r="DC56" s="0" t="n">
        <v>0.85</v>
      </c>
      <c r="DD56" s="0" t="s">
        <v>213</v>
      </c>
      <c r="ED56" s="0" t="s">
        <v>212</v>
      </c>
      <c r="EE56" s="0" t="n">
        <v>1.05</v>
      </c>
      <c r="EI56" s="0" t="n">
        <v>1.36</v>
      </c>
      <c r="FQ56" s="0" t="n">
        <v>86883881</v>
      </c>
    </row>
    <row r="57" customFormat="false" ht="15" hidden="false" customHeight="false" outlineLevel="0" collapsed="false">
      <c r="B57" s="0" t="str">
        <f aca="false">C57&amp;"x"&amp;I57</f>
        <v>61020x100210</v>
      </c>
      <c r="C57" s="0" t="n">
        <f aca="false">IF(G57="SINGLE",H57,G57)</f>
        <v>61020</v>
      </c>
      <c r="D57" s="0" t="e">
        <f aca="false">_xlfn.XLOOKUP(I57,calculations!$t:$t,calculations!$s:$s)</f>
        <v>#VALUE!</v>
      </c>
      <c r="E57" s="0" t="str">
        <f aca="false">_xlfn.XLOOKUP(I57,Mapping!$T:$T,Mapping!$Q:$Q)</f>
        <v>IRIS09</v>
      </c>
      <c r="F57" s="1" t="n">
        <v>46203</v>
      </c>
      <c r="G57" s="0" t="n">
        <v>61020</v>
      </c>
      <c r="H57" s="0" t="n">
        <v>61020</v>
      </c>
      <c r="I57" s="0" t="n">
        <v>100210</v>
      </c>
      <c r="J57" s="0" t="s">
        <v>334</v>
      </c>
      <c r="K57" s="0" t="s">
        <v>293</v>
      </c>
      <c r="L57" s="0" t="s">
        <v>293</v>
      </c>
      <c r="M57" s="0" t="s">
        <v>184</v>
      </c>
      <c r="N57" s="0" t="n">
        <v>34134000</v>
      </c>
      <c r="O57" s="0" t="n">
        <v>39922807.02</v>
      </c>
      <c r="P57" s="0" t="s">
        <v>185</v>
      </c>
      <c r="Q57" s="0" t="s">
        <v>227</v>
      </c>
      <c r="R57" s="0" t="s">
        <v>187</v>
      </c>
      <c r="S57" s="0" t="s">
        <v>335</v>
      </c>
      <c r="T57" s="0" t="s">
        <v>189</v>
      </c>
      <c r="U57" s="0" t="s">
        <v>229</v>
      </c>
      <c r="V57" s="0" t="s">
        <v>230</v>
      </c>
      <c r="W57" s="0" t="s">
        <v>336</v>
      </c>
      <c r="X57" s="0" t="s">
        <v>337</v>
      </c>
      <c r="Y57" s="0" t="n">
        <v>13.2</v>
      </c>
      <c r="Z57" s="0" t="s">
        <v>219</v>
      </c>
      <c r="AA57" s="0" t="n">
        <v>0.855</v>
      </c>
      <c r="AB57" s="0" t="s">
        <v>202</v>
      </c>
      <c r="AC57" s="0" t="n">
        <v>34879000</v>
      </c>
      <c r="AD57" s="0" t="n">
        <v>34879000</v>
      </c>
      <c r="AE57" s="0" t="n">
        <v>40794152.05</v>
      </c>
      <c r="AF57" s="0" t="n">
        <v>0.9786</v>
      </c>
      <c r="AG57" s="0" t="n">
        <v>34134000</v>
      </c>
      <c r="AH57" s="0" t="n">
        <v>34134000</v>
      </c>
      <c r="AI57" s="0" t="n">
        <v>745000</v>
      </c>
      <c r="AJ57" s="0" t="n">
        <v>34879000</v>
      </c>
      <c r="AK57" s="0" t="n">
        <v>34134000</v>
      </c>
      <c r="AL57" s="0" t="n">
        <v>34134000</v>
      </c>
      <c r="AN57" s="0" t="n">
        <v>3.604</v>
      </c>
      <c r="AO57" s="0" t="n">
        <v>3.589</v>
      </c>
      <c r="AP57" s="0" t="n">
        <v>3.443</v>
      </c>
      <c r="AQ57" s="0" t="n">
        <v>100</v>
      </c>
      <c r="AR57" s="0" t="n">
        <v>100</v>
      </c>
      <c r="AS57" s="1" t="n">
        <v>42538</v>
      </c>
      <c r="AT57" s="1" t="n">
        <v>52034</v>
      </c>
      <c r="AU57" s="1" t="n">
        <v>46295</v>
      </c>
      <c r="AV57" s="0" t="s">
        <v>338</v>
      </c>
      <c r="AW57" s="0" t="s">
        <v>299</v>
      </c>
      <c r="AX57" s="0" t="s">
        <v>187</v>
      </c>
      <c r="AY57" s="0" t="s">
        <v>339</v>
      </c>
      <c r="AZ57" s="0" t="s">
        <v>340</v>
      </c>
      <c r="BA57" s="0" t="s">
        <v>230</v>
      </c>
      <c r="BB57" s="0" t="s">
        <v>299</v>
      </c>
      <c r="BC57" s="0" t="s">
        <v>341</v>
      </c>
      <c r="BI57" s="0" t="n">
        <v>34879000</v>
      </c>
      <c r="BJ57" s="0" t="n">
        <v>40794152.05</v>
      </c>
      <c r="BK57" s="0" t="s">
        <v>253</v>
      </c>
      <c r="BL57" s="0" t="s">
        <v>201</v>
      </c>
      <c r="BN57" s="0" t="n">
        <v>15.6</v>
      </c>
      <c r="BO57" s="0" t="n">
        <v>15.96</v>
      </c>
      <c r="BP57" s="0" t="s">
        <v>187</v>
      </c>
      <c r="BQ57" s="0" t="s">
        <v>187</v>
      </c>
      <c r="BR57" s="0" t="s">
        <v>203</v>
      </c>
      <c r="BS57" s="0" t="s">
        <v>342</v>
      </c>
      <c r="BT57" s="0" t="s">
        <v>216</v>
      </c>
      <c r="BU57" s="0" t="s">
        <v>205</v>
      </c>
      <c r="BW57" s="0" t="s">
        <v>257</v>
      </c>
      <c r="BX57" s="0" t="s">
        <v>217</v>
      </c>
      <c r="BY57" s="0" t="n">
        <v>245</v>
      </c>
      <c r="BZ57" s="0" t="n">
        <v>245</v>
      </c>
      <c r="CC57" s="0" t="s">
        <v>210</v>
      </c>
      <c r="CD57" s="0" t="s">
        <v>210</v>
      </c>
      <c r="CE57" s="0" t="s">
        <v>211</v>
      </c>
      <c r="CF57" s="0" t="s">
        <v>211</v>
      </c>
      <c r="CG57" s="0" t="s">
        <v>211</v>
      </c>
      <c r="CH57" s="1" t="n">
        <v>46112</v>
      </c>
      <c r="CI57" s="0" t="n">
        <v>1.2</v>
      </c>
      <c r="CJ57" s="0" t="n">
        <v>1.56</v>
      </c>
      <c r="CK57" s="0" t="n">
        <v>1.64</v>
      </c>
      <c r="CL57" s="0" t="s">
        <v>212</v>
      </c>
      <c r="DA57" s="0" t="n">
        <v>0.8</v>
      </c>
      <c r="DC57" s="0" t="n">
        <v>0.85</v>
      </c>
      <c r="DD57" s="0" t="s">
        <v>213</v>
      </c>
      <c r="ED57" s="0" t="s">
        <v>212</v>
      </c>
      <c r="EE57" s="0" t="n">
        <v>1.05</v>
      </c>
      <c r="EI57" s="0" t="n">
        <v>1.22</v>
      </c>
      <c r="FQ57" s="0" t="n">
        <v>64257699</v>
      </c>
    </row>
    <row r="58" customFormat="false" ht="15" hidden="false" customHeight="false" outlineLevel="0" collapsed="false">
      <c r="B58" s="0" t="str">
        <f aca="false">C58&amp;"x"&amp;I58</f>
        <v>61017x100210</v>
      </c>
      <c r="C58" s="0" t="n">
        <f aca="false">IF(G58="SINGLE",H58,G58)</f>
        <v>61017</v>
      </c>
      <c r="D58" s="0" t="e">
        <f aca="false">_xlfn.XLOOKUP(I58,calculations!$t:$t,calculations!$s:$s)</f>
        <v>#VALUE!</v>
      </c>
      <c r="E58" s="0" t="str">
        <f aca="false">_xlfn.XLOOKUP(I58,Mapping!$T:$T,Mapping!$Q:$Q)</f>
        <v>IRIS09</v>
      </c>
      <c r="F58" s="1" t="n">
        <v>46203</v>
      </c>
      <c r="G58" s="0" t="n">
        <v>61017</v>
      </c>
      <c r="H58" s="0" t="n">
        <v>61017</v>
      </c>
      <c r="I58" s="0" t="n">
        <v>100210</v>
      </c>
      <c r="J58" s="0" t="s">
        <v>334</v>
      </c>
      <c r="K58" s="0" t="s">
        <v>274</v>
      </c>
      <c r="L58" s="0" t="s">
        <v>274</v>
      </c>
      <c r="M58" s="0" t="s">
        <v>184</v>
      </c>
      <c r="N58" s="0" t="n">
        <v>17823000</v>
      </c>
      <c r="O58" s="0" t="n">
        <v>20845614.04</v>
      </c>
      <c r="P58" s="0" t="s">
        <v>185</v>
      </c>
      <c r="Q58" s="0" t="s">
        <v>227</v>
      </c>
      <c r="R58" s="0" t="s">
        <v>187</v>
      </c>
      <c r="S58" s="0" t="s">
        <v>335</v>
      </c>
      <c r="T58" s="0" t="s">
        <v>189</v>
      </c>
      <c r="U58" s="0" t="s">
        <v>229</v>
      </c>
      <c r="V58" s="0" t="s">
        <v>230</v>
      </c>
      <c r="W58" s="0" t="s">
        <v>336</v>
      </c>
      <c r="X58" s="0" t="s">
        <v>337</v>
      </c>
      <c r="Y58" s="0" t="n">
        <v>13.2</v>
      </c>
      <c r="Z58" s="0" t="s">
        <v>219</v>
      </c>
      <c r="AA58" s="0" t="n">
        <v>0.855</v>
      </c>
      <c r="AB58" s="0" t="s">
        <v>202</v>
      </c>
      <c r="AC58" s="0" t="n">
        <v>18212000</v>
      </c>
      <c r="AD58" s="0" t="n">
        <v>18212000</v>
      </c>
      <c r="AE58" s="0" t="n">
        <v>21300584.8</v>
      </c>
      <c r="AF58" s="0" t="n">
        <v>0.9786</v>
      </c>
      <c r="AG58" s="0" t="n">
        <v>17823000</v>
      </c>
      <c r="AH58" s="0" t="n">
        <v>17823000</v>
      </c>
      <c r="AI58" s="0" t="n">
        <v>389000</v>
      </c>
      <c r="AJ58" s="0" t="n">
        <v>18212000</v>
      </c>
      <c r="AK58" s="0" t="n">
        <v>17823000</v>
      </c>
      <c r="AL58" s="0" t="n">
        <v>17823000</v>
      </c>
      <c r="AN58" s="0" t="n">
        <v>2.786</v>
      </c>
      <c r="AO58" s="0" t="n">
        <v>4.67</v>
      </c>
      <c r="AP58" s="0" t="n">
        <v>6.224</v>
      </c>
      <c r="AQ58" s="0" t="n">
        <v>100</v>
      </c>
      <c r="AR58" s="0" t="n">
        <v>100</v>
      </c>
      <c r="AS58" s="1" t="n">
        <v>42538</v>
      </c>
      <c r="AT58" s="1" t="n">
        <v>52034</v>
      </c>
      <c r="AU58" s="1" t="n">
        <v>46295</v>
      </c>
      <c r="AV58" s="0" t="s">
        <v>338</v>
      </c>
      <c r="AW58" s="0" t="s">
        <v>299</v>
      </c>
      <c r="AX58" s="0" t="s">
        <v>187</v>
      </c>
      <c r="AY58" s="0" t="s">
        <v>339</v>
      </c>
      <c r="AZ58" s="0" t="s">
        <v>340</v>
      </c>
      <c r="BA58" s="0" t="s">
        <v>230</v>
      </c>
      <c r="BB58" s="0" t="s">
        <v>299</v>
      </c>
      <c r="BC58" s="0" t="s">
        <v>341</v>
      </c>
      <c r="BI58" s="0" t="n">
        <v>18212000</v>
      </c>
      <c r="BJ58" s="0" t="n">
        <v>21300584.8</v>
      </c>
      <c r="BK58" s="0" t="s">
        <v>253</v>
      </c>
      <c r="BL58" s="0" t="s">
        <v>201</v>
      </c>
      <c r="BN58" s="0" t="n">
        <v>15.6</v>
      </c>
      <c r="BO58" s="0" t="n">
        <v>15.96</v>
      </c>
      <c r="BP58" s="0" t="s">
        <v>187</v>
      </c>
      <c r="BQ58" s="0" t="s">
        <v>187</v>
      </c>
      <c r="BR58" s="0" t="s">
        <v>203</v>
      </c>
      <c r="BS58" s="0" t="s">
        <v>342</v>
      </c>
      <c r="BT58" s="0" t="s">
        <v>216</v>
      </c>
      <c r="BU58" s="0" t="s">
        <v>269</v>
      </c>
      <c r="BW58" s="0" t="s">
        <v>257</v>
      </c>
      <c r="BX58" s="0" t="s">
        <v>217</v>
      </c>
      <c r="BY58" s="0" t="n">
        <v>245</v>
      </c>
      <c r="BZ58" s="0" t="n">
        <v>245</v>
      </c>
      <c r="CC58" s="0" t="s">
        <v>210</v>
      </c>
      <c r="CD58" s="0" t="s">
        <v>210</v>
      </c>
      <c r="CE58" s="0" t="s">
        <v>211</v>
      </c>
      <c r="CF58" s="0" t="s">
        <v>211</v>
      </c>
      <c r="CG58" s="0" t="s">
        <v>211</v>
      </c>
      <c r="CH58" s="1" t="n">
        <v>46112</v>
      </c>
      <c r="CI58" s="0" t="n">
        <v>1.2</v>
      </c>
      <c r="CJ58" s="0" t="n">
        <v>2.83</v>
      </c>
      <c r="CK58" s="0" t="n">
        <v>2.97</v>
      </c>
      <c r="CL58" s="0" t="s">
        <v>212</v>
      </c>
      <c r="DA58" s="0" t="n">
        <v>0.55</v>
      </c>
      <c r="DC58" s="0" t="n">
        <v>0.85</v>
      </c>
      <c r="DD58" s="0" t="s">
        <v>212</v>
      </c>
      <c r="ED58" s="0" t="s">
        <v>212</v>
      </c>
      <c r="EE58" s="0" t="n">
        <v>1.05</v>
      </c>
      <c r="EI58" s="0" t="n">
        <v>1.57</v>
      </c>
      <c r="FQ58" s="0" t="n">
        <v>99749326</v>
      </c>
    </row>
    <row r="59" customFormat="false" ht="15" hidden="false" customHeight="false" outlineLevel="0" collapsed="false">
      <c r="B59" s="0" t="str">
        <f aca="false">C59&amp;"x"&amp;I59</f>
        <v>61016x100210</v>
      </c>
      <c r="C59" s="0" t="n">
        <f aca="false">IF(G59="SINGLE",H59,G59)</f>
        <v>61016</v>
      </c>
      <c r="D59" s="0" t="e">
        <f aca="false">_xlfn.XLOOKUP(I59,calculations!$t:$t,calculations!$s:$s)</f>
        <v>#VALUE!</v>
      </c>
      <c r="E59" s="0" t="str">
        <f aca="false">_xlfn.XLOOKUP(I59,Mapping!$T:$T,Mapping!$Q:$Q)</f>
        <v>IRIS09</v>
      </c>
      <c r="F59" s="1" t="n">
        <v>46203</v>
      </c>
      <c r="G59" s="0" t="n">
        <v>61016</v>
      </c>
      <c r="H59" s="0" t="n">
        <v>61016</v>
      </c>
      <c r="I59" s="0" t="n">
        <v>100210</v>
      </c>
      <c r="J59" s="0" t="s">
        <v>334</v>
      </c>
      <c r="K59" s="0" t="s">
        <v>343</v>
      </c>
      <c r="L59" s="0" t="s">
        <v>343</v>
      </c>
      <c r="M59" s="0" t="s">
        <v>184</v>
      </c>
      <c r="N59" s="0" t="n">
        <v>36766000</v>
      </c>
      <c r="O59" s="0" t="n">
        <v>43001169.59</v>
      </c>
      <c r="P59" s="0" t="s">
        <v>185</v>
      </c>
      <c r="Q59" s="0" t="s">
        <v>227</v>
      </c>
      <c r="R59" s="0" t="s">
        <v>187</v>
      </c>
      <c r="S59" s="0" t="s">
        <v>335</v>
      </c>
      <c r="T59" s="0" t="s">
        <v>189</v>
      </c>
      <c r="U59" s="0" t="s">
        <v>229</v>
      </c>
      <c r="V59" s="0" t="s">
        <v>230</v>
      </c>
      <c r="W59" s="0" t="s">
        <v>336</v>
      </c>
      <c r="X59" s="0" t="s">
        <v>337</v>
      </c>
      <c r="Y59" s="0" t="n">
        <v>13.2</v>
      </c>
      <c r="Z59" s="0" t="s">
        <v>219</v>
      </c>
      <c r="AA59" s="0" t="n">
        <v>0.855</v>
      </c>
      <c r="AB59" s="0" t="s">
        <v>202</v>
      </c>
      <c r="AC59" s="0" t="n">
        <v>37569000</v>
      </c>
      <c r="AD59" s="0" t="n">
        <v>37569000</v>
      </c>
      <c r="AE59" s="0" t="n">
        <v>43940350.88</v>
      </c>
      <c r="AF59" s="0" t="n">
        <v>0.9786</v>
      </c>
      <c r="AG59" s="0" t="n">
        <v>36766000</v>
      </c>
      <c r="AH59" s="0" t="n">
        <v>36766000</v>
      </c>
      <c r="AI59" s="0" t="n">
        <v>803000</v>
      </c>
      <c r="AJ59" s="0" t="n">
        <v>37569000</v>
      </c>
      <c r="AK59" s="0" t="n">
        <v>36766000</v>
      </c>
      <c r="AL59" s="0" t="n">
        <v>36766000</v>
      </c>
      <c r="AN59" s="0" t="n">
        <v>3.169</v>
      </c>
      <c r="AO59" s="0" t="n">
        <v>4.579</v>
      </c>
      <c r="AP59" s="0" t="n">
        <v>3.894</v>
      </c>
      <c r="AQ59" s="0" t="n">
        <v>100</v>
      </c>
      <c r="AR59" s="0" t="n">
        <v>100</v>
      </c>
      <c r="AS59" s="1" t="n">
        <v>42538</v>
      </c>
      <c r="AT59" s="1" t="n">
        <v>52034</v>
      </c>
      <c r="AU59" s="1" t="n">
        <v>46295</v>
      </c>
      <c r="AV59" s="0" t="s">
        <v>338</v>
      </c>
      <c r="AW59" s="0" t="s">
        <v>299</v>
      </c>
      <c r="AX59" s="0" t="s">
        <v>187</v>
      </c>
      <c r="AY59" s="0" t="s">
        <v>339</v>
      </c>
      <c r="AZ59" s="0" t="s">
        <v>340</v>
      </c>
      <c r="BA59" s="0" t="s">
        <v>230</v>
      </c>
      <c r="BB59" s="0" t="s">
        <v>299</v>
      </c>
      <c r="BC59" s="0" t="s">
        <v>341</v>
      </c>
      <c r="BI59" s="0" t="n">
        <v>37569000</v>
      </c>
      <c r="BJ59" s="0" t="n">
        <v>43940350.88</v>
      </c>
      <c r="BK59" s="0" t="s">
        <v>253</v>
      </c>
      <c r="BL59" s="0" t="s">
        <v>201</v>
      </c>
      <c r="BN59" s="0" t="n">
        <v>15.6</v>
      </c>
      <c r="BO59" s="0" t="n">
        <v>15.96</v>
      </c>
      <c r="BP59" s="0" t="s">
        <v>187</v>
      </c>
      <c r="BQ59" s="0" t="s">
        <v>187</v>
      </c>
      <c r="BR59" s="0" t="s">
        <v>203</v>
      </c>
      <c r="BS59" s="0" t="s">
        <v>342</v>
      </c>
      <c r="BT59" s="0" t="s">
        <v>216</v>
      </c>
      <c r="BU59" s="0" t="s">
        <v>255</v>
      </c>
      <c r="BW59" s="0" t="s">
        <v>206</v>
      </c>
      <c r="BX59" s="0" t="s">
        <v>207</v>
      </c>
      <c r="BY59" s="0" t="n">
        <v>245</v>
      </c>
      <c r="BZ59" s="0" t="n">
        <v>245</v>
      </c>
      <c r="CC59" s="0" t="s">
        <v>210</v>
      </c>
      <c r="CD59" s="0" t="s">
        <v>210</v>
      </c>
      <c r="CE59" s="0" t="s">
        <v>211</v>
      </c>
      <c r="CF59" s="0" t="s">
        <v>211</v>
      </c>
      <c r="CG59" s="0" t="s">
        <v>211</v>
      </c>
      <c r="CH59" s="1" t="n">
        <v>46112</v>
      </c>
      <c r="CI59" s="0" t="n">
        <v>1.2</v>
      </c>
      <c r="CJ59" s="0" t="n">
        <v>1.97</v>
      </c>
      <c r="CK59" s="0" t="n">
        <v>2.07</v>
      </c>
      <c r="CL59" s="0" t="s">
        <v>212</v>
      </c>
      <c r="DA59" s="0" t="n">
        <v>0.5</v>
      </c>
      <c r="DC59" s="0" t="n">
        <v>0.85</v>
      </c>
      <c r="DD59" s="0" t="s">
        <v>212</v>
      </c>
      <c r="ED59" s="0" t="s">
        <v>212</v>
      </c>
      <c r="EE59" s="0" t="n">
        <v>1.05</v>
      </c>
      <c r="EI59" s="0" t="n">
        <v>1.38</v>
      </c>
      <c r="FQ59" s="0" t="n">
        <v>72086551</v>
      </c>
    </row>
    <row r="60" customFormat="false" ht="15" hidden="false" customHeight="false" outlineLevel="0" collapsed="false">
      <c r="B60" s="0" t="str">
        <f aca="false">C60&amp;"x"&amp;I60</f>
        <v>61024x100210</v>
      </c>
      <c r="C60" s="0" t="n">
        <f aca="false">IF(G60="SINGLE",H60,G60)</f>
        <v>61024</v>
      </c>
      <c r="D60" s="0" t="e">
        <f aca="false">_xlfn.XLOOKUP(I60,calculations!$t:$t,calculations!$s:$s)</f>
        <v>#VALUE!</v>
      </c>
      <c r="E60" s="0" t="str">
        <f aca="false">_xlfn.XLOOKUP(I60,Mapping!$T:$T,Mapping!$Q:$Q)</f>
        <v>IRIS09</v>
      </c>
      <c r="F60" s="1" t="n">
        <v>46203</v>
      </c>
      <c r="G60" s="0" t="n">
        <v>61024</v>
      </c>
      <c r="H60" s="0" t="n">
        <v>61024</v>
      </c>
      <c r="I60" s="0" t="n">
        <v>100210</v>
      </c>
      <c r="J60" s="0" t="s">
        <v>334</v>
      </c>
      <c r="K60" s="0" t="s">
        <v>183</v>
      </c>
      <c r="L60" s="0" t="s">
        <v>183</v>
      </c>
      <c r="M60" s="0" t="s">
        <v>184</v>
      </c>
      <c r="N60" s="0" t="n">
        <v>29874000</v>
      </c>
      <c r="O60" s="0" t="n">
        <v>34940350.88</v>
      </c>
      <c r="P60" s="0" t="s">
        <v>185</v>
      </c>
      <c r="Q60" s="0" t="s">
        <v>227</v>
      </c>
      <c r="R60" s="0" t="s">
        <v>187</v>
      </c>
      <c r="S60" s="0" t="s">
        <v>335</v>
      </c>
      <c r="T60" s="0" t="s">
        <v>189</v>
      </c>
      <c r="U60" s="0" t="s">
        <v>229</v>
      </c>
      <c r="V60" s="0" t="s">
        <v>230</v>
      </c>
      <c r="W60" s="0" t="s">
        <v>336</v>
      </c>
      <c r="X60" s="0" t="s">
        <v>337</v>
      </c>
      <c r="Y60" s="0" t="n">
        <v>13.2</v>
      </c>
      <c r="Z60" s="0" t="s">
        <v>219</v>
      </c>
      <c r="AA60" s="0" t="n">
        <v>0.855</v>
      </c>
      <c r="AB60" s="0" t="s">
        <v>202</v>
      </c>
      <c r="AC60" s="0" t="n">
        <v>30526000</v>
      </c>
      <c r="AD60" s="0" t="n">
        <v>30526000</v>
      </c>
      <c r="AE60" s="0" t="n">
        <v>35702923.98</v>
      </c>
      <c r="AF60" s="0" t="n">
        <v>0.9786</v>
      </c>
      <c r="AG60" s="0" t="n">
        <v>29874000</v>
      </c>
      <c r="AH60" s="0" t="n">
        <v>29874000</v>
      </c>
      <c r="AI60" s="0" t="n">
        <v>652000</v>
      </c>
      <c r="AJ60" s="0" t="n">
        <v>30526000</v>
      </c>
      <c r="AK60" s="0" t="n">
        <v>29874000</v>
      </c>
      <c r="AL60" s="0" t="n">
        <v>29874000</v>
      </c>
      <c r="AN60" s="0" t="n">
        <v>6.437</v>
      </c>
      <c r="AO60" s="0" t="n">
        <v>2.854</v>
      </c>
      <c r="AP60" s="0" t="n">
        <v>5.143</v>
      </c>
      <c r="AQ60" s="0" t="n">
        <v>100</v>
      </c>
      <c r="AR60" s="0" t="n">
        <v>100</v>
      </c>
      <c r="AS60" s="1" t="n">
        <v>42538</v>
      </c>
      <c r="AT60" s="1" t="n">
        <v>52034</v>
      </c>
      <c r="AU60" s="1" t="n">
        <v>46295</v>
      </c>
      <c r="AV60" s="0" t="s">
        <v>338</v>
      </c>
      <c r="AW60" s="0" t="s">
        <v>299</v>
      </c>
      <c r="AX60" s="0" t="s">
        <v>187</v>
      </c>
      <c r="AY60" s="0" t="s">
        <v>339</v>
      </c>
      <c r="AZ60" s="0" t="s">
        <v>340</v>
      </c>
      <c r="BA60" s="0" t="s">
        <v>230</v>
      </c>
      <c r="BB60" s="0" t="s">
        <v>299</v>
      </c>
      <c r="BC60" s="0" t="s">
        <v>341</v>
      </c>
      <c r="BI60" s="0" t="n">
        <v>30526000</v>
      </c>
      <c r="BJ60" s="0" t="n">
        <v>35702923.98</v>
      </c>
      <c r="BK60" s="0" t="s">
        <v>253</v>
      </c>
      <c r="BL60" s="0" t="s">
        <v>201</v>
      </c>
      <c r="BN60" s="0" t="n">
        <v>15.6</v>
      </c>
      <c r="BO60" s="0" t="n">
        <v>15.96</v>
      </c>
      <c r="BP60" s="0" t="s">
        <v>187</v>
      </c>
      <c r="BQ60" s="0" t="s">
        <v>187</v>
      </c>
      <c r="BR60" s="0" t="s">
        <v>203</v>
      </c>
      <c r="BS60" s="0" t="s">
        <v>342</v>
      </c>
      <c r="BT60" s="0" t="s">
        <v>216</v>
      </c>
      <c r="BU60" s="0" t="s">
        <v>205</v>
      </c>
      <c r="BW60" s="0" t="s">
        <v>257</v>
      </c>
      <c r="BX60" s="0" t="s">
        <v>217</v>
      </c>
      <c r="BY60" s="0" t="n">
        <v>245</v>
      </c>
      <c r="BZ60" s="0" t="n">
        <v>245</v>
      </c>
      <c r="CC60" s="0" t="s">
        <v>210</v>
      </c>
      <c r="CD60" s="0" t="s">
        <v>210</v>
      </c>
      <c r="CE60" s="0" t="s">
        <v>211</v>
      </c>
      <c r="CF60" s="0" t="s">
        <v>211</v>
      </c>
      <c r="CG60" s="0" t="s">
        <v>211</v>
      </c>
      <c r="CH60" s="1" t="n">
        <v>46112</v>
      </c>
      <c r="CI60" s="0" t="n">
        <v>1.2</v>
      </c>
      <c r="CJ60" s="0" t="n">
        <v>1.31</v>
      </c>
      <c r="CK60" s="0" t="n">
        <v>1.38</v>
      </c>
      <c r="CL60" s="0" t="s">
        <v>212</v>
      </c>
      <c r="DA60" s="0" t="n">
        <v>0.85</v>
      </c>
      <c r="DC60" s="0" t="n">
        <v>0.85</v>
      </c>
      <c r="DD60" s="0" t="s">
        <v>213</v>
      </c>
      <c r="ED60" s="0" t="s">
        <v>212</v>
      </c>
      <c r="EE60" s="0" t="n">
        <v>1.05</v>
      </c>
      <c r="EI60" s="0" t="n">
        <v>1.45</v>
      </c>
      <c r="FQ60" s="0" t="n">
        <v>65740930</v>
      </c>
    </row>
    <row r="61" customFormat="false" ht="15" hidden="false" customHeight="false" outlineLevel="0" collapsed="false">
      <c r="B61" s="0" t="str">
        <f aca="false">C61&amp;"x"&amp;I61</f>
        <v>61001x100211</v>
      </c>
      <c r="C61" s="0" t="n">
        <f aca="false">IF(G61="SINGLE",H61,G61)</f>
        <v>61001</v>
      </c>
      <c r="D61" s="0" t="e">
        <f aca="false">_xlfn.XLOOKUP(I61,calculations!$t:$t,calculations!$s:$s)</f>
        <v>#VALUE!</v>
      </c>
      <c r="E61" s="0" t="str">
        <f aca="false">_xlfn.XLOOKUP(I61,Mapping!$T:$T,Mapping!$Q:$Q)</f>
        <v>JUNI10</v>
      </c>
      <c r="F61" s="1" t="n">
        <v>46203</v>
      </c>
      <c r="G61" s="0" t="n">
        <v>61001</v>
      </c>
      <c r="H61" s="0" t="n">
        <v>61001</v>
      </c>
      <c r="I61" s="0" t="n">
        <v>100211</v>
      </c>
      <c r="J61" s="0" t="s">
        <v>344</v>
      </c>
      <c r="K61" s="0" t="s">
        <v>345</v>
      </c>
      <c r="L61" s="0" t="s">
        <v>345</v>
      </c>
      <c r="M61" s="0" t="s">
        <v>184</v>
      </c>
      <c r="N61" s="0" t="n">
        <v>10158000</v>
      </c>
      <c r="O61" s="0" t="n">
        <v>10158000</v>
      </c>
      <c r="P61" s="0" t="s">
        <v>185</v>
      </c>
      <c r="Q61" s="0" t="s">
        <v>186</v>
      </c>
      <c r="R61" s="0" t="s">
        <v>187</v>
      </c>
      <c r="S61" s="0" t="s">
        <v>346</v>
      </c>
      <c r="T61" s="0" t="s">
        <v>189</v>
      </c>
      <c r="U61" s="0" t="s">
        <v>322</v>
      </c>
      <c r="V61" s="0" t="s">
        <v>323</v>
      </c>
      <c r="W61" s="0" t="s">
        <v>347</v>
      </c>
      <c r="X61" s="0" t="s">
        <v>348</v>
      </c>
      <c r="Y61" s="0" t="n">
        <v>6</v>
      </c>
      <c r="Z61" s="0" t="s">
        <v>185</v>
      </c>
      <c r="AA61" s="0" t="n">
        <v>1</v>
      </c>
      <c r="AB61" s="0" t="s">
        <v>187</v>
      </c>
      <c r="AC61" s="0" t="n">
        <v>11265000</v>
      </c>
      <c r="AD61" s="0" t="n">
        <v>11265000</v>
      </c>
      <c r="AE61" s="0" t="n">
        <v>11265000</v>
      </c>
      <c r="AF61" s="0" t="n">
        <v>0.9017</v>
      </c>
      <c r="AG61" s="0" t="n">
        <v>10158000</v>
      </c>
      <c r="AH61" s="0" t="n">
        <v>10158000</v>
      </c>
      <c r="AI61" s="0" t="n">
        <v>1107000</v>
      </c>
      <c r="AJ61" s="0" t="n">
        <v>11265000</v>
      </c>
      <c r="AK61" s="0" t="n">
        <v>10158000</v>
      </c>
      <c r="AL61" s="0" t="n">
        <v>10158000</v>
      </c>
      <c r="AM61" s="0" t="s">
        <v>194</v>
      </c>
      <c r="AN61" s="0" t="n">
        <v>4.028</v>
      </c>
      <c r="AO61" s="0" t="n">
        <v>3.473</v>
      </c>
      <c r="AP61" s="0" t="n">
        <v>5.092</v>
      </c>
      <c r="AQ61" s="0" t="n">
        <v>100</v>
      </c>
      <c r="AR61" s="0" t="n">
        <v>100</v>
      </c>
      <c r="AS61" s="1" t="n">
        <v>43794</v>
      </c>
      <c r="AT61" s="1" t="n">
        <v>46898</v>
      </c>
      <c r="AU61" s="1" t="n">
        <v>46295</v>
      </c>
      <c r="AV61" s="0" t="s">
        <v>349</v>
      </c>
      <c r="AW61" s="0" t="s">
        <v>249</v>
      </c>
      <c r="AX61" s="0" t="s">
        <v>187</v>
      </c>
      <c r="AY61" s="0" t="s">
        <v>350</v>
      </c>
      <c r="AZ61" s="0" t="s">
        <v>351</v>
      </c>
      <c r="BA61" s="0" t="s">
        <v>323</v>
      </c>
      <c r="BB61" s="0" t="s">
        <v>249</v>
      </c>
      <c r="BC61" s="0" t="s">
        <v>352</v>
      </c>
      <c r="BI61" s="0" t="n">
        <v>11265000</v>
      </c>
      <c r="BJ61" s="0" t="n">
        <v>11265000</v>
      </c>
      <c r="BK61" s="0" t="s">
        <v>200</v>
      </c>
      <c r="BL61" s="0" t="s">
        <v>201</v>
      </c>
      <c r="BN61" s="0" t="n">
        <v>5.1</v>
      </c>
      <c r="BO61" s="0" t="n">
        <v>1.9</v>
      </c>
      <c r="BP61" s="0" t="s">
        <v>202</v>
      </c>
      <c r="BQ61" s="0" t="s">
        <v>187</v>
      </c>
      <c r="BR61" s="0" t="s">
        <v>203</v>
      </c>
      <c r="BS61" s="0" t="s">
        <v>353</v>
      </c>
      <c r="BT61" s="0" t="s">
        <v>224</v>
      </c>
      <c r="BU61" s="0" t="s">
        <v>255</v>
      </c>
      <c r="BW61" s="0" t="s">
        <v>257</v>
      </c>
      <c r="BX61" s="0" t="s">
        <v>207</v>
      </c>
      <c r="BY61" s="0" t="n">
        <v>45</v>
      </c>
      <c r="BZ61" s="0" t="n">
        <v>45</v>
      </c>
      <c r="CB61" s="0" t="s">
        <v>208</v>
      </c>
      <c r="CC61" s="0" t="s">
        <v>317</v>
      </c>
      <c r="CD61" s="0" t="s">
        <v>317</v>
      </c>
      <c r="CE61" s="0" t="s">
        <v>211</v>
      </c>
      <c r="CF61" s="0" t="s">
        <v>211</v>
      </c>
      <c r="CG61" s="0" t="s">
        <v>211</v>
      </c>
      <c r="CH61" s="1" t="n">
        <v>46112</v>
      </c>
      <c r="CI61" s="0" t="n">
        <v>1.2</v>
      </c>
      <c r="CJ61" s="0" t="n">
        <v>1.64</v>
      </c>
      <c r="CK61" s="0" t="n">
        <v>1.72</v>
      </c>
      <c r="CL61" s="0" t="s">
        <v>212</v>
      </c>
      <c r="DA61" s="0" t="n">
        <v>0.56</v>
      </c>
      <c r="DC61" s="0" t="n">
        <v>0.85</v>
      </c>
      <c r="DD61" s="0" t="s">
        <v>212</v>
      </c>
      <c r="ED61" s="0" t="s">
        <v>212</v>
      </c>
      <c r="EE61" s="0" t="n">
        <v>1.05</v>
      </c>
      <c r="EI61" s="0" t="n">
        <v>1.37</v>
      </c>
      <c r="FQ61" s="0" t="n">
        <v>25665115</v>
      </c>
    </row>
    <row r="62" customFormat="false" ht="15" hidden="false" customHeight="false" outlineLevel="0" collapsed="false">
      <c r="B62" s="0" t="str">
        <f aca="false">C62&amp;"x"&amp;I62</f>
        <v>61009x100211</v>
      </c>
      <c r="C62" s="0" t="n">
        <f aca="false">IF(G62="SINGLE",H62,G62)</f>
        <v>61009</v>
      </c>
      <c r="D62" s="0" t="e">
        <f aca="false">_xlfn.XLOOKUP(I62,calculations!$t:$t,calculations!$s:$s)</f>
        <v>#VALUE!</v>
      </c>
      <c r="E62" s="0" t="str">
        <f aca="false">_xlfn.XLOOKUP(I62,Mapping!$T:$T,Mapping!$Q:$Q)</f>
        <v>JUNI10</v>
      </c>
      <c r="F62" s="1" t="n">
        <v>46203</v>
      </c>
      <c r="G62" s="0" t="n">
        <v>61009</v>
      </c>
      <c r="H62" s="0" t="n">
        <v>61009</v>
      </c>
      <c r="I62" s="0" t="n">
        <v>100211</v>
      </c>
      <c r="J62" s="0" t="s">
        <v>344</v>
      </c>
      <c r="K62" s="0" t="s">
        <v>243</v>
      </c>
      <c r="L62" s="0" t="s">
        <v>243</v>
      </c>
      <c r="M62" s="0" t="s">
        <v>184</v>
      </c>
      <c r="N62" s="0" t="n">
        <v>26826000</v>
      </c>
      <c r="O62" s="0" t="n">
        <v>26826000</v>
      </c>
      <c r="P62" s="0" t="s">
        <v>244</v>
      </c>
      <c r="Q62" s="0" t="s">
        <v>186</v>
      </c>
      <c r="R62" s="0" t="s">
        <v>187</v>
      </c>
      <c r="S62" s="0" t="s">
        <v>346</v>
      </c>
      <c r="T62" s="0" t="s">
        <v>189</v>
      </c>
      <c r="U62" s="0" t="s">
        <v>322</v>
      </c>
      <c r="V62" s="0" t="s">
        <v>323</v>
      </c>
      <c r="W62" s="0" t="s">
        <v>347</v>
      </c>
      <c r="X62" s="0" t="s">
        <v>348</v>
      </c>
      <c r="Y62" s="0" t="n">
        <v>6</v>
      </c>
      <c r="Z62" s="0" t="s">
        <v>185</v>
      </c>
      <c r="AA62" s="0" t="n">
        <v>1</v>
      </c>
      <c r="AB62" s="0" t="s">
        <v>187</v>
      </c>
      <c r="AC62" s="0" t="n">
        <v>29750000</v>
      </c>
      <c r="AD62" s="0" t="n">
        <v>29750000</v>
      </c>
      <c r="AE62" s="0" t="n">
        <v>29750000</v>
      </c>
      <c r="AF62" s="0" t="n">
        <v>0.9017</v>
      </c>
      <c r="AG62" s="0" t="n">
        <v>26826000</v>
      </c>
      <c r="AH62" s="0" t="n">
        <v>26826000</v>
      </c>
      <c r="AI62" s="0" t="n">
        <v>2924000</v>
      </c>
      <c r="AJ62" s="0" t="n">
        <v>29750000</v>
      </c>
      <c r="AK62" s="0" t="n">
        <v>26826000</v>
      </c>
      <c r="AL62" s="0" t="n">
        <v>26826000</v>
      </c>
      <c r="AM62" s="0" t="s">
        <v>194</v>
      </c>
      <c r="AN62" s="0" t="n">
        <v>3.946</v>
      </c>
      <c r="AO62" s="0" t="n">
        <v>5.227</v>
      </c>
      <c r="AP62" s="0" t="n">
        <v>5.619</v>
      </c>
      <c r="AQ62" s="0" t="n">
        <v>100</v>
      </c>
      <c r="AR62" s="0" t="n">
        <v>100</v>
      </c>
      <c r="AS62" s="1" t="n">
        <v>43794</v>
      </c>
      <c r="AT62" s="1" t="n">
        <v>46898</v>
      </c>
      <c r="AU62" s="1" t="n">
        <v>46295</v>
      </c>
      <c r="AV62" s="0" t="s">
        <v>349</v>
      </c>
      <c r="AW62" s="0" t="s">
        <v>249</v>
      </c>
      <c r="AX62" s="0" t="s">
        <v>187</v>
      </c>
      <c r="AY62" s="0" t="s">
        <v>350</v>
      </c>
      <c r="AZ62" s="0" t="s">
        <v>351</v>
      </c>
      <c r="BA62" s="0" t="s">
        <v>323</v>
      </c>
      <c r="BB62" s="0" t="s">
        <v>249</v>
      </c>
      <c r="BC62" s="0" t="s">
        <v>352</v>
      </c>
      <c r="BI62" s="0" t="n">
        <v>29750000</v>
      </c>
      <c r="BJ62" s="0" t="n">
        <v>29750000</v>
      </c>
      <c r="BK62" s="0" t="s">
        <v>200</v>
      </c>
      <c r="BL62" s="0" t="s">
        <v>201</v>
      </c>
      <c r="BN62" s="0" t="n">
        <v>5.1</v>
      </c>
      <c r="BO62" s="0" t="n">
        <v>1.9</v>
      </c>
      <c r="BP62" s="0" t="s">
        <v>202</v>
      </c>
      <c r="BQ62" s="0" t="s">
        <v>187</v>
      </c>
      <c r="BR62" s="0" t="s">
        <v>203</v>
      </c>
      <c r="BS62" s="0" t="s">
        <v>353</v>
      </c>
      <c r="BT62" s="0" t="s">
        <v>224</v>
      </c>
      <c r="BU62" s="0" t="s">
        <v>224</v>
      </c>
      <c r="BW62" s="0" t="s">
        <v>206</v>
      </c>
      <c r="BX62" s="0" t="s">
        <v>207</v>
      </c>
      <c r="BY62" s="0" t="n">
        <v>45</v>
      </c>
      <c r="BZ62" s="0" t="n">
        <v>45</v>
      </c>
      <c r="CB62" s="0" t="s">
        <v>208</v>
      </c>
      <c r="CC62" s="0" t="s">
        <v>317</v>
      </c>
      <c r="CD62" s="0" t="s">
        <v>317</v>
      </c>
      <c r="CE62" s="0" t="s">
        <v>211</v>
      </c>
      <c r="CF62" s="0" t="s">
        <v>211</v>
      </c>
      <c r="CG62" s="0" t="s">
        <v>211</v>
      </c>
      <c r="CH62" s="1" t="n">
        <v>46112</v>
      </c>
      <c r="CI62" s="0" t="n">
        <v>1.2</v>
      </c>
      <c r="CJ62" s="0" t="n">
        <v>3.05</v>
      </c>
      <c r="CK62" s="0" t="n">
        <v>3.2</v>
      </c>
      <c r="CL62" s="0" t="s">
        <v>212</v>
      </c>
      <c r="DA62" s="0" t="n">
        <v>0.71</v>
      </c>
      <c r="DC62" s="0" t="n">
        <v>0.85</v>
      </c>
      <c r="DD62" s="0" t="s">
        <v>212</v>
      </c>
      <c r="ED62" s="0" t="s">
        <v>213</v>
      </c>
      <c r="EE62" s="0" t="n">
        <v>1.05</v>
      </c>
      <c r="EI62" s="0" t="n">
        <v>1.16</v>
      </c>
      <c r="FQ62" s="0" t="n">
        <v>19745445</v>
      </c>
    </row>
    <row r="63" customFormat="false" ht="15" hidden="false" customHeight="false" outlineLevel="0" collapsed="false">
      <c r="B63" s="0" t="str">
        <f aca="false">C63&amp;"x"&amp;I63</f>
        <v>61002x100211</v>
      </c>
      <c r="C63" s="0" t="n">
        <f aca="false">IF(G63="SINGLE",H63,G63)</f>
        <v>61002</v>
      </c>
      <c r="D63" s="0" t="e">
        <f aca="false">_xlfn.XLOOKUP(I63,calculations!$t:$t,calculations!$s:$s)</f>
        <v>#VALUE!</v>
      </c>
      <c r="E63" s="0" t="str">
        <f aca="false">_xlfn.XLOOKUP(I63,Mapping!$T:$T,Mapping!$Q:$Q)</f>
        <v>JUNI10</v>
      </c>
      <c r="F63" s="1" t="n">
        <v>46203</v>
      </c>
      <c r="G63" s="0" t="n">
        <v>61002</v>
      </c>
      <c r="H63" s="0" t="n">
        <v>61002</v>
      </c>
      <c r="I63" s="0" t="n">
        <v>100211</v>
      </c>
      <c r="J63" s="0" t="s">
        <v>344</v>
      </c>
      <c r="K63" s="0" t="s">
        <v>333</v>
      </c>
      <c r="L63" s="0" t="s">
        <v>333</v>
      </c>
      <c r="M63" s="0" t="s">
        <v>184</v>
      </c>
      <c r="N63" s="0" t="n">
        <v>20502000</v>
      </c>
      <c r="O63" s="0" t="n">
        <v>20502000</v>
      </c>
      <c r="P63" s="0" t="s">
        <v>185</v>
      </c>
      <c r="Q63" s="0" t="s">
        <v>186</v>
      </c>
      <c r="R63" s="0" t="s">
        <v>187</v>
      </c>
      <c r="S63" s="0" t="s">
        <v>346</v>
      </c>
      <c r="T63" s="0" t="s">
        <v>189</v>
      </c>
      <c r="U63" s="0" t="s">
        <v>322</v>
      </c>
      <c r="V63" s="0" t="s">
        <v>323</v>
      </c>
      <c r="W63" s="0" t="s">
        <v>347</v>
      </c>
      <c r="X63" s="0" t="s">
        <v>348</v>
      </c>
      <c r="Y63" s="0" t="n">
        <v>6</v>
      </c>
      <c r="Z63" s="0" t="s">
        <v>185</v>
      </c>
      <c r="AA63" s="0" t="n">
        <v>1</v>
      </c>
      <c r="AB63" s="0" t="s">
        <v>187</v>
      </c>
      <c r="AC63" s="0" t="n">
        <v>22736000</v>
      </c>
      <c r="AD63" s="0" t="n">
        <v>22736000</v>
      </c>
      <c r="AE63" s="0" t="n">
        <v>22736000</v>
      </c>
      <c r="AF63" s="0" t="n">
        <v>0.9017</v>
      </c>
      <c r="AG63" s="0" t="n">
        <v>20502000</v>
      </c>
      <c r="AH63" s="0" t="n">
        <v>20502000</v>
      </c>
      <c r="AI63" s="0" t="n">
        <v>2234000</v>
      </c>
      <c r="AJ63" s="0" t="n">
        <v>22736000</v>
      </c>
      <c r="AK63" s="0" t="n">
        <v>20502000</v>
      </c>
      <c r="AL63" s="0" t="n">
        <v>20502000</v>
      </c>
      <c r="AM63" s="0" t="s">
        <v>194</v>
      </c>
      <c r="AN63" s="0" t="n">
        <v>5.657</v>
      </c>
      <c r="AO63" s="0" t="n">
        <v>4.52</v>
      </c>
      <c r="AP63" s="0" t="n">
        <v>4.538</v>
      </c>
      <c r="AQ63" s="0" t="n">
        <v>100</v>
      </c>
      <c r="AR63" s="0" t="n">
        <v>100</v>
      </c>
      <c r="AS63" s="1" t="n">
        <v>43794</v>
      </c>
      <c r="AT63" s="1" t="n">
        <v>46898</v>
      </c>
      <c r="AU63" s="1" t="n">
        <v>46295</v>
      </c>
      <c r="AV63" s="0" t="s">
        <v>349</v>
      </c>
      <c r="AW63" s="0" t="s">
        <v>249</v>
      </c>
      <c r="AX63" s="0" t="s">
        <v>187</v>
      </c>
      <c r="AY63" s="0" t="s">
        <v>350</v>
      </c>
      <c r="AZ63" s="0" t="s">
        <v>351</v>
      </c>
      <c r="BA63" s="0" t="s">
        <v>323</v>
      </c>
      <c r="BB63" s="0" t="s">
        <v>249</v>
      </c>
      <c r="BC63" s="0" t="s">
        <v>352</v>
      </c>
      <c r="BI63" s="0" t="n">
        <v>22736000</v>
      </c>
      <c r="BJ63" s="0" t="n">
        <v>22736000</v>
      </c>
      <c r="BK63" s="0" t="s">
        <v>200</v>
      </c>
      <c r="BL63" s="0" t="s">
        <v>201</v>
      </c>
      <c r="BN63" s="0" t="n">
        <v>5.1</v>
      </c>
      <c r="BO63" s="0" t="n">
        <v>1.9</v>
      </c>
      <c r="BP63" s="0" t="s">
        <v>202</v>
      </c>
      <c r="BQ63" s="0" t="s">
        <v>187</v>
      </c>
      <c r="BR63" s="0" t="s">
        <v>203</v>
      </c>
      <c r="BS63" s="0" t="s">
        <v>353</v>
      </c>
      <c r="BT63" s="0" t="s">
        <v>224</v>
      </c>
      <c r="BU63" s="0" t="s">
        <v>220</v>
      </c>
      <c r="BW63" s="0" t="s">
        <v>206</v>
      </c>
      <c r="BX63" s="0" t="s">
        <v>217</v>
      </c>
      <c r="BY63" s="0" t="n">
        <v>45</v>
      </c>
      <c r="BZ63" s="0" t="n">
        <v>45</v>
      </c>
      <c r="CB63" s="0" t="s">
        <v>208</v>
      </c>
      <c r="CC63" s="0" t="s">
        <v>317</v>
      </c>
      <c r="CD63" s="0" t="s">
        <v>317</v>
      </c>
      <c r="CE63" s="0" t="s">
        <v>211</v>
      </c>
      <c r="CF63" s="0" t="s">
        <v>211</v>
      </c>
      <c r="CG63" s="0" t="s">
        <v>211</v>
      </c>
      <c r="CH63" s="1" t="n">
        <v>46112</v>
      </c>
      <c r="CI63" s="0" t="n">
        <v>1.2</v>
      </c>
      <c r="CJ63" s="0" t="n">
        <v>1.87</v>
      </c>
      <c r="CK63" s="0" t="n">
        <v>1.96</v>
      </c>
      <c r="CL63" s="0" t="s">
        <v>212</v>
      </c>
      <c r="DA63" s="0" t="n">
        <v>0.76</v>
      </c>
      <c r="DC63" s="0" t="n">
        <v>0.85</v>
      </c>
      <c r="DD63" s="0" t="s">
        <v>212</v>
      </c>
      <c r="ED63" s="0" t="s">
        <v>212</v>
      </c>
      <c r="EE63" s="0" t="n">
        <v>1.05</v>
      </c>
      <c r="EI63" s="0" t="n">
        <v>1.53</v>
      </c>
      <c r="FQ63" s="0" t="n">
        <v>23537270</v>
      </c>
    </row>
    <row r="64" customFormat="false" ht="15" hidden="false" customHeight="false" outlineLevel="0" collapsed="false">
      <c r="B64" s="0" t="str">
        <f aca="false">C64&amp;"x"&amp;I64</f>
        <v>61020x100211</v>
      </c>
      <c r="C64" s="0" t="n">
        <f aca="false">IF(G64="SINGLE",H64,G64)</f>
        <v>61020</v>
      </c>
      <c r="D64" s="0" t="e">
        <f aca="false">_xlfn.XLOOKUP(I64,calculations!$t:$t,calculations!$s:$s)</f>
        <v>#VALUE!</v>
      </c>
      <c r="E64" s="0" t="str">
        <f aca="false">_xlfn.XLOOKUP(I64,Mapping!$T:$T,Mapping!$Q:$Q)</f>
        <v>JUNI10</v>
      </c>
      <c r="F64" s="1" t="n">
        <v>46203</v>
      </c>
      <c r="G64" s="0" t="n">
        <v>61020</v>
      </c>
      <c r="H64" s="0" t="n">
        <v>61020</v>
      </c>
      <c r="I64" s="0" t="n">
        <v>100211</v>
      </c>
      <c r="J64" s="0" t="s">
        <v>344</v>
      </c>
      <c r="K64" s="0" t="s">
        <v>293</v>
      </c>
      <c r="L64" s="0" t="s">
        <v>293</v>
      </c>
      <c r="M64" s="0" t="s">
        <v>184</v>
      </c>
      <c r="N64" s="0" t="n">
        <v>10158000</v>
      </c>
      <c r="O64" s="0" t="n">
        <v>10158000</v>
      </c>
      <c r="P64" s="0" t="s">
        <v>185</v>
      </c>
      <c r="Q64" s="0" t="s">
        <v>186</v>
      </c>
      <c r="R64" s="0" t="s">
        <v>187</v>
      </c>
      <c r="S64" s="0" t="s">
        <v>346</v>
      </c>
      <c r="T64" s="0" t="s">
        <v>189</v>
      </c>
      <c r="U64" s="0" t="s">
        <v>322</v>
      </c>
      <c r="V64" s="0" t="s">
        <v>323</v>
      </c>
      <c r="W64" s="0" t="s">
        <v>347</v>
      </c>
      <c r="X64" s="0" t="s">
        <v>348</v>
      </c>
      <c r="Y64" s="0" t="n">
        <v>6</v>
      </c>
      <c r="Z64" s="0" t="s">
        <v>185</v>
      </c>
      <c r="AA64" s="0" t="n">
        <v>1</v>
      </c>
      <c r="AB64" s="0" t="s">
        <v>187</v>
      </c>
      <c r="AC64" s="0" t="n">
        <v>11265000</v>
      </c>
      <c r="AD64" s="0" t="n">
        <v>11265000</v>
      </c>
      <c r="AE64" s="0" t="n">
        <v>11265000</v>
      </c>
      <c r="AF64" s="0" t="n">
        <v>0.9017</v>
      </c>
      <c r="AG64" s="0" t="n">
        <v>10158000</v>
      </c>
      <c r="AH64" s="0" t="n">
        <v>10158000</v>
      </c>
      <c r="AI64" s="0" t="n">
        <v>1107000</v>
      </c>
      <c r="AJ64" s="0" t="n">
        <v>11265000</v>
      </c>
      <c r="AK64" s="0" t="n">
        <v>10158000</v>
      </c>
      <c r="AL64" s="0" t="n">
        <v>10158000</v>
      </c>
      <c r="AM64" s="0" t="s">
        <v>194</v>
      </c>
      <c r="AN64" s="0" t="n">
        <v>5.802</v>
      </c>
      <c r="AO64" s="0" t="n">
        <v>4.64</v>
      </c>
      <c r="AP64" s="0" t="n">
        <v>5.647</v>
      </c>
      <c r="AQ64" s="0" t="n">
        <v>100</v>
      </c>
      <c r="AR64" s="0" t="n">
        <v>100</v>
      </c>
      <c r="AS64" s="1" t="n">
        <v>43794</v>
      </c>
      <c r="AT64" s="1" t="n">
        <v>46898</v>
      </c>
      <c r="AU64" s="1" t="n">
        <v>46295</v>
      </c>
      <c r="AV64" s="0" t="s">
        <v>349</v>
      </c>
      <c r="AW64" s="0" t="s">
        <v>249</v>
      </c>
      <c r="AX64" s="0" t="s">
        <v>187</v>
      </c>
      <c r="AY64" s="0" t="s">
        <v>350</v>
      </c>
      <c r="AZ64" s="0" t="s">
        <v>351</v>
      </c>
      <c r="BA64" s="0" t="s">
        <v>323</v>
      </c>
      <c r="BB64" s="0" t="s">
        <v>249</v>
      </c>
      <c r="BC64" s="0" t="s">
        <v>352</v>
      </c>
      <c r="BI64" s="0" t="n">
        <v>11265000</v>
      </c>
      <c r="BJ64" s="0" t="n">
        <v>11265000</v>
      </c>
      <c r="BK64" s="0" t="s">
        <v>200</v>
      </c>
      <c r="BL64" s="0" t="s">
        <v>201</v>
      </c>
      <c r="BN64" s="0" t="n">
        <v>5.1</v>
      </c>
      <c r="BO64" s="0" t="n">
        <v>1.9</v>
      </c>
      <c r="BP64" s="0" t="s">
        <v>202</v>
      </c>
      <c r="BQ64" s="0" t="s">
        <v>187</v>
      </c>
      <c r="BR64" s="0" t="s">
        <v>203</v>
      </c>
      <c r="BS64" s="0" t="s">
        <v>353</v>
      </c>
      <c r="BT64" s="0" t="s">
        <v>224</v>
      </c>
      <c r="BU64" s="0" t="s">
        <v>205</v>
      </c>
      <c r="BW64" s="0" t="s">
        <v>206</v>
      </c>
      <c r="BX64" s="0" t="s">
        <v>217</v>
      </c>
      <c r="BY64" s="0" t="n">
        <v>45</v>
      </c>
      <c r="BZ64" s="0" t="n">
        <v>45</v>
      </c>
      <c r="CB64" s="0" t="s">
        <v>208</v>
      </c>
      <c r="CC64" s="0" t="s">
        <v>354</v>
      </c>
      <c r="CD64" s="0" t="s">
        <v>317</v>
      </c>
      <c r="CE64" s="0" t="s">
        <v>211</v>
      </c>
      <c r="CF64" s="0" t="s">
        <v>211</v>
      </c>
      <c r="CG64" s="0" t="s">
        <v>211</v>
      </c>
      <c r="CH64" s="1" t="n">
        <v>46112</v>
      </c>
      <c r="CI64" s="0" t="n">
        <v>1.2</v>
      </c>
      <c r="CJ64" s="0" t="n">
        <v>1.45</v>
      </c>
      <c r="CK64" s="0" t="n">
        <v>1.52</v>
      </c>
      <c r="CL64" s="0" t="s">
        <v>212</v>
      </c>
      <c r="DA64" s="0" t="n">
        <v>0.67</v>
      </c>
      <c r="DC64" s="0" t="n">
        <v>0.85</v>
      </c>
      <c r="DD64" s="0" t="s">
        <v>212</v>
      </c>
      <c r="ED64" s="0" t="s">
        <v>212</v>
      </c>
      <c r="EE64" s="0" t="n">
        <v>1.05</v>
      </c>
      <c r="EI64" s="0" t="n">
        <v>1.84</v>
      </c>
      <c r="FQ64" s="0" t="n">
        <v>23382389</v>
      </c>
    </row>
    <row r="65" customFormat="false" ht="15" hidden="false" customHeight="false" outlineLevel="0" collapsed="false">
      <c r="B65" s="0" t="str">
        <f aca="false">C65&amp;"x"&amp;I65</f>
        <v>61023x100211</v>
      </c>
      <c r="C65" s="0" t="n">
        <f aca="false">IF(G65="SINGLE",H65,G65)</f>
        <v>61023</v>
      </c>
      <c r="D65" s="0" t="e">
        <f aca="false">_xlfn.XLOOKUP(I65,calculations!$t:$t,calculations!$s:$s)</f>
        <v>#VALUE!</v>
      </c>
      <c r="E65" s="0" t="str">
        <f aca="false">_xlfn.XLOOKUP(I65,Mapping!$T:$T,Mapping!$Q:$Q)</f>
        <v>JUNI10</v>
      </c>
      <c r="F65" s="1" t="n">
        <v>46203</v>
      </c>
      <c r="G65" s="0" t="n">
        <v>61023</v>
      </c>
      <c r="H65" s="0" t="n">
        <v>61023</v>
      </c>
      <c r="I65" s="0" t="n">
        <v>100211</v>
      </c>
      <c r="J65" s="0" t="s">
        <v>344</v>
      </c>
      <c r="K65" s="0" t="s">
        <v>221</v>
      </c>
      <c r="L65" s="0" t="s">
        <v>221</v>
      </c>
      <c r="M65" s="0" t="s">
        <v>184</v>
      </c>
      <c r="N65" s="0" t="n">
        <v>12034000</v>
      </c>
      <c r="O65" s="0" t="n">
        <v>12034000</v>
      </c>
      <c r="P65" s="0" t="s">
        <v>185</v>
      </c>
      <c r="Q65" s="0" t="s">
        <v>186</v>
      </c>
      <c r="R65" s="0" t="s">
        <v>187</v>
      </c>
      <c r="S65" s="0" t="s">
        <v>346</v>
      </c>
      <c r="T65" s="0" t="s">
        <v>189</v>
      </c>
      <c r="U65" s="0" t="s">
        <v>322</v>
      </c>
      <c r="V65" s="0" t="s">
        <v>323</v>
      </c>
      <c r="W65" s="0" t="s">
        <v>347</v>
      </c>
      <c r="X65" s="0" t="s">
        <v>348</v>
      </c>
      <c r="Y65" s="0" t="n">
        <v>6</v>
      </c>
      <c r="Z65" s="0" t="s">
        <v>185</v>
      </c>
      <c r="AA65" s="0" t="n">
        <v>1</v>
      </c>
      <c r="AB65" s="0" t="s">
        <v>187</v>
      </c>
      <c r="AC65" s="0" t="n">
        <v>13345000</v>
      </c>
      <c r="AD65" s="0" t="n">
        <v>13345000</v>
      </c>
      <c r="AE65" s="0" t="n">
        <v>13345000</v>
      </c>
      <c r="AF65" s="0" t="n">
        <v>0.9018</v>
      </c>
      <c r="AG65" s="0" t="n">
        <v>12034000</v>
      </c>
      <c r="AH65" s="0" t="n">
        <v>12034000</v>
      </c>
      <c r="AI65" s="0" t="n">
        <v>1311000</v>
      </c>
      <c r="AJ65" s="0" t="n">
        <v>13345000</v>
      </c>
      <c r="AK65" s="0" t="n">
        <v>12034000</v>
      </c>
      <c r="AL65" s="0" t="n">
        <v>12034000</v>
      </c>
      <c r="AM65" s="0" t="s">
        <v>194</v>
      </c>
      <c r="AN65" s="0" t="n">
        <v>3.998</v>
      </c>
      <c r="AO65" s="0" t="n">
        <v>4.241</v>
      </c>
      <c r="AP65" s="0" t="n">
        <v>3.211</v>
      </c>
      <c r="AQ65" s="0" t="n">
        <v>100</v>
      </c>
      <c r="AR65" s="0" t="n">
        <v>100</v>
      </c>
      <c r="AS65" s="1" t="n">
        <v>43794</v>
      </c>
      <c r="AT65" s="1" t="n">
        <v>46898</v>
      </c>
      <c r="AU65" s="1" t="n">
        <v>46295</v>
      </c>
      <c r="AV65" s="0" t="s">
        <v>349</v>
      </c>
      <c r="AW65" s="0" t="s">
        <v>249</v>
      </c>
      <c r="AX65" s="0" t="s">
        <v>187</v>
      </c>
      <c r="AY65" s="0" t="s">
        <v>350</v>
      </c>
      <c r="AZ65" s="0" t="s">
        <v>351</v>
      </c>
      <c r="BA65" s="0" t="s">
        <v>323</v>
      </c>
      <c r="BB65" s="0" t="s">
        <v>249</v>
      </c>
      <c r="BC65" s="0" t="s">
        <v>352</v>
      </c>
      <c r="BI65" s="0" t="n">
        <v>13345000</v>
      </c>
      <c r="BJ65" s="0" t="n">
        <v>13345000</v>
      </c>
      <c r="BK65" s="0" t="s">
        <v>200</v>
      </c>
      <c r="BL65" s="0" t="s">
        <v>201</v>
      </c>
      <c r="BN65" s="0" t="n">
        <v>5.1</v>
      </c>
      <c r="BO65" s="0" t="n">
        <v>1.9</v>
      </c>
      <c r="BP65" s="0" t="s">
        <v>202</v>
      </c>
      <c r="BQ65" s="0" t="s">
        <v>187</v>
      </c>
      <c r="BR65" s="0" t="s">
        <v>203</v>
      </c>
      <c r="BS65" s="0" t="s">
        <v>353</v>
      </c>
      <c r="BT65" s="0" t="s">
        <v>224</v>
      </c>
      <c r="BU65" s="0" t="s">
        <v>269</v>
      </c>
      <c r="BW65" s="0" t="s">
        <v>206</v>
      </c>
      <c r="BX65" s="0" t="s">
        <v>217</v>
      </c>
      <c r="BY65" s="0" t="n">
        <v>45</v>
      </c>
      <c r="BZ65" s="0" t="n">
        <v>45</v>
      </c>
      <c r="CB65" s="0" t="s">
        <v>208</v>
      </c>
      <c r="CC65" s="0" t="s">
        <v>317</v>
      </c>
      <c r="CD65" s="0" t="s">
        <v>317</v>
      </c>
      <c r="CE65" s="0" t="s">
        <v>211</v>
      </c>
      <c r="CF65" s="0" t="s">
        <v>211</v>
      </c>
      <c r="CG65" s="0" t="s">
        <v>211</v>
      </c>
      <c r="CH65" s="1" t="n">
        <v>46112</v>
      </c>
      <c r="CI65" s="0" t="n">
        <v>1.2</v>
      </c>
      <c r="CJ65" s="0" t="n">
        <v>3.04</v>
      </c>
      <c r="CK65" s="0" t="n">
        <v>3.19</v>
      </c>
      <c r="CL65" s="0" t="s">
        <v>212</v>
      </c>
      <c r="DA65" s="0" t="n">
        <v>0.73</v>
      </c>
      <c r="DC65" s="0" t="n">
        <v>0.85</v>
      </c>
      <c r="DD65" s="0" t="s">
        <v>212</v>
      </c>
      <c r="ED65" s="0" t="s">
        <v>212</v>
      </c>
      <c r="EE65" s="0" t="n">
        <v>1.05</v>
      </c>
      <c r="EI65" s="0" t="n">
        <v>1.8</v>
      </c>
      <c r="FQ65" s="0" t="n">
        <v>24277260</v>
      </c>
    </row>
    <row r="66" customFormat="false" ht="15" hidden="false" customHeight="false" outlineLevel="0" collapsed="false">
      <c r="B66" s="0" t="str">
        <f aca="false">C66&amp;"x"&amp;I66</f>
        <v>61024x100211</v>
      </c>
      <c r="C66" s="0" t="n">
        <f aca="false">IF(G66="SINGLE",H66,G66)</f>
        <v>61024</v>
      </c>
      <c r="D66" s="0" t="e">
        <f aca="false">_xlfn.XLOOKUP(I66,calculations!$t:$t,calculations!$s:$s)</f>
        <v>#VALUE!</v>
      </c>
      <c r="E66" s="0" t="str">
        <f aca="false">_xlfn.XLOOKUP(I66,Mapping!$T:$T,Mapping!$Q:$Q)</f>
        <v>JUNI10</v>
      </c>
      <c r="F66" s="1" t="n">
        <v>46203</v>
      </c>
      <c r="G66" s="0" t="n">
        <v>61024</v>
      </c>
      <c r="H66" s="0" t="n">
        <v>61024</v>
      </c>
      <c r="I66" s="0" t="n">
        <v>100211</v>
      </c>
      <c r="J66" s="0" t="s">
        <v>344</v>
      </c>
      <c r="K66" s="0" t="s">
        <v>183</v>
      </c>
      <c r="L66" s="0" t="s">
        <v>183</v>
      </c>
      <c r="M66" s="0" t="s">
        <v>184</v>
      </c>
      <c r="N66" s="0" t="n">
        <v>13465000</v>
      </c>
      <c r="O66" s="0" t="n">
        <v>13465000</v>
      </c>
      <c r="P66" s="0" t="s">
        <v>185</v>
      </c>
      <c r="Q66" s="0" t="s">
        <v>186</v>
      </c>
      <c r="R66" s="0" t="s">
        <v>187</v>
      </c>
      <c r="S66" s="0" t="s">
        <v>346</v>
      </c>
      <c r="T66" s="0" t="s">
        <v>189</v>
      </c>
      <c r="U66" s="0" t="s">
        <v>322</v>
      </c>
      <c r="V66" s="0" t="s">
        <v>323</v>
      </c>
      <c r="W66" s="0" t="s">
        <v>347</v>
      </c>
      <c r="X66" s="0" t="s">
        <v>348</v>
      </c>
      <c r="Y66" s="0" t="n">
        <v>6</v>
      </c>
      <c r="Z66" s="0" t="s">
        <v>185</v>
      </c>
      <c r="AA66" s="0" t="n">
        <v>1</v>
      </c>
      <c r="AB66" s="0" t="s">
        <v>187</v>
      </c>
      <c r="AC66" s="0" t="n">
        <v>14933000</v>
      </c>
      <c r="AD66" s="0" t="n">
        <v>14933000</v>
      </c>
      <c r="AE66" s="0" t="n">
        <v>14933000</v>
      </c>
      <c r="AF66" s="0" t="n">
        <v>0.9017</v>
      </c>
      <c r="AG66" s="0" t="n">
        <v>13465000</v>
      </c>
      <c r="AH66" s="0" t="n">
        <v>13465000</v>
      </c>
      <c r="AI66" s="0" t="n">
        <v>1468000</v>
      </c>
      <c r="AJ66" s="0" t="n">
        <v>14933000</v>
      </c>
      <c r="AK66" s="0" t="n">
        <v>13465000</v>
      </c>
      <c r="AL66" s="0" t="n">
        <v>13465000</v>
      </c>
      <c r="AM66" s="0" t="s">
        <v>194</v>
      </c>
      <c r="AN66" s="0" t="n">
        <v>6.392</v>
      </c>
      <c r="AO66" s="0" t="n">
        <v>3.849</v>
      </c>
      <c r="AP66" s="0" t="n">
        <v>3.177</v>
      </c>
      <c r="AQ66" s="0" t="n">
        <v>100</v>
      </c>
      <c r="AR66" s="0" t="n">
        <v>100</v>
      </c>
      <c r="AS66" s="1" t="n">
        <v>43794</v>
      </c>
      <c r="AT66" s="1" t="n">
        <v>46898</v>
      </c>
      <c r="AU66" s="1" t="n">
        <v>46295</v>
      </c>
      <c r="AV66" s="0" t="s">
        <v>349</v>
      </c>
      <c r="AW66" s="0" t="s">
        <v>249</v>
      </c>
      <c r="AX66" s="0" t="s">
        <v>187</v>
      </c>
      <c r="AY66" s="0" t="s">
        <v>350</v>
      </c>
      <c r="AZ66" s="0" t="s">
        <v>351</v>
      </c>
      <c r="BA66" s="0" t="s">
        <v>323</v>
      </c>
      <c r="BB66" s="0" t="s">
        <v>249</v>
      </c>
      <c r="BC66" s="0" t="s">
        <v>352</v>
      </c>
      <c r="BI66" s="0" t="n">
        <v>14933000</v>
      </c>
      <c r="BJ66" s="0" t="n">
        <v>14933000</v>
      </c>
      <c r="BK66" s="0" t="s">
        <v>200</v>
      </c>
      <c r="BL66" s="0" t="s">
        <v>201</v>
      </c>
      <c r="BN66" s="0" t="n">
        <v>5.1</v>
      </c>
      <c r="BO66" s="0" t="n">
        <v>1.9</v>
      </c>
      <c r="BP66" s="0" t="s">
        <v>202</v>
      </c>
      <c r="BQ66" s="0" t="s">
        <v>187</v>
      </c>
      <c r="BR66" s="0" t="s">
        <v>203</v>
      </c>
      <c r="BS66" s="0" t="s">
        <v>353</v>
      </c>
      <c r="BT66" s="0" t="s">
        <v>224</v>
      </c>
      <c r="BU66" s="0" t="s">
        <v>269</v>
      </c>
      <c r="BW66" s="0" t="s">
        <v>257</v>
      </c>
      <c r="BX66" s="0" t="s">
        <v>207</v>
      </c>
      <c r="BY66" s="0" t="n">
        <v>45</v>
      </c>
      <c r="BZ66" s="0" t="n">
        <v>45</v>
      </c>
      <c r="CB66" s="0" t="s">
        <v>208</v>
      </c>
      <c r="CC66" s="0" t="s">
        <v>317</v>
      </c>
      <c r="CD66" s="0" t="s">
        <v>317</v>
      </c>
      <c r="CE66" s="0" t="s">
        <v>211</v>
      </c>
      <c r="CF66" s="0" t="s">
        <v>211</v>
      </c>
      <c r="CG66" s="0" t="s">
        <v>211</v>
      </c>
      <c r="CH66" s="1" t="n">
        <v>46112</v>
      </c>
      <c r="CI66" s="0" t="n">
        <v>1.2</v>
      </c>
      <c r="CJ66" s="0" t="n">
        <v>2.47</v>
      </c>
      <c r="CK66" s="0" t="n">
        <v>2.59</v>
      </c>
      <c r="CL66" s="0" t="s">
        <v>212</v>
      </c>
      <c r="DA66" s="0" t="n">
        <v>0.55</v>
      </c>
      <c r="DC66" s="0" t="n">
        <v>0.85</v>
      </c>
      <c r="DD66" s="0" t="s">
        <v>212</v>
      </c>
      <c r="ED66" s="0" t="s">
        <v>212</v>
      </c>
      <c r="EE66" s="0" t="n">
        <v>1.05</v>
      </c>
      <c r="EI66" s="0" t="n">
        <v>1.36</v>
      </c>
      <c r="FQ66" s="0" t="n">
        <v>31382055</v>
      </c>
    </row>
    <row r="67" customFormat="false" ht="15" hidden="false" customHeight="false" outlineLevel="0" collapsed="false">
      <c r="B67" s="0" t="str">
        <f aca="false">C67&amp;"x"&amp;I67</f>
        <v>61021x100212</v>
      </c>
      <c r="C67" s="0" t="n">
        <f aca="false">IF(G67="SINGLE",H67,G67)</f>
        <v>61021</v>
      </c>
      <c r="D67" s="0" t="e">
        <f aca="false">_xlfn.XLOOKUP(I67,calculations!$t:$t,calculations!$s:$s)</f>
        <v>#VALUE!</v>
      </c>
      <c r="E67" s="0" t="str">
        <f aca="false">_xlfn.XLOOKUP(I67,Mapping!$T:$T,Mapping!$Q:$Q)</f>
        <v>KEST11</v>
      </c>
      <c r="F67" s="1" t="n">
        <v>46203</v>
      </c>
      <c r="G67" s="0" t="n">
        <v>61021</v>
      </c>
      <c r="H67" s="0" t="n">
        <v>61021</v>
      </c>
      <c r="I67" s="0" t="n">
        <v>100212</v>
      </c>
      <c r="J67" s="0" t="s">
        <v>355</v>
      </c>
      <c r="K67" s="0" t="s">
        <v>214</v>
      </c>
      <c r="L67" s="0" t="s">
        <v>214</v>
      </c>
      <c r="M67" s="0" t="s">
        <v>184</v>
      </c>
      <c r="N67" s="0" t="n">
        <v>13268000</v>
      </c>
      <c r="O67" s="0" t="n">
        <v>13268000</v>
      </c>
      <c r="P67" s="0" t="s">
        <v>185</v>
      </c>
      <c r="Q67" s="0" t="s">
        <v>186</v>
      </c>
      <c r="R67" s="0" t="s">
        <v>187</v>
      </c>
      <c r="S67" s="0" t="s">
        <v>356</v>
      </c>
      <c r="T67" s="0" t="s">
        <v>189</v>
      </c>
      <c r="U67" s="0" t="s">
        <v>357</v>
      </c>
      <c r="V67" s="0" t="s">
        <v>358</v>
      </c>
      <c r="W67" s="0" t="s">
        <v>281</v>
      </c>
      <c r="X67" s="0" t="s">
        <v>359</v>
      </c>
      <c r="Y67" s="0" t="n">
        <v>17.4</v>
      </c>
      <c r="Z67" s="0" t="s">
        <v>185</v>
      </c>
      <c r="AA67" s="0" t="n">
        <v>1</v>
      </c>
      <c r="AB67" s="0" t="s">
        <v>187</v>
      </c>
      <c r="AC67" s="0" t="n">
        <v>13517000</v>
      </c>
      <c r="AD67" s="0" t="n">
        <v>13517000</v>
      </c>
      <c r="AE67" s="0" t="n">
        <v>13517000</v>
      </c>
      <c r="AF67" s="0" t="n">
        <v>0.9816</v>
      </c>
      <c r="AG67" s="0" t="n">
        <v>13268000</v>
      </c>
      <c r="AH67" s="0" t="n">
        <v>13268000</v>
      </c>
      <c r="AI67" s="0" t="n">
        <v>249000</v>
      </c>
      <c r="AJ67" s="0" t="n">
        <v>13517000</v>
      </c>
      <c r="AK67" s="0" t="n">
        <v>13268000</v>
      </c>
      <c r="AL67" s="0" t="n">
        <v>13268000</v>
      </c>
      <c r="AM67" s="0" t="s">
        <v>194</v>
      </c>
      <c r="AN67" s="0" t="n">
        <v>6.047</v>
      </c>
      <c r="AO67" s="0" t="n">
        <v>3.473</v>
      </c>
      <c r="AP67" s="0" t="n">
        <v>5.806</v>
      </c>
      <c r="AQ67" s="0" t="n">
        <v>100</v>
      </c>
      <c r="AR67" s="0" t="n">
        <v>100</v>
      </c>
      <c r="AS67" s="1" t="n">
        <v>44300</v>
      </c>
      <c r="AT67" s="1" t="n">
        <v>54162</v>
      </c>
      <c r="AU67" s="1" t="n">
        <v>46295</v>
      </c>
      <c r="AV67" s="0" t="s">
        <v>360</v>
      </c>
      <c r="AW67" s="0" t="s">
        <v>312</v>
      </c>
      <c r="AX67" s="0" t="s">
        <v>187</v>
      </c>
      <c r="AY67" s="0" t="s">
        <v>361</v>
      </c>
      <c r="AZ67" s="0" t="s">
        <v>362</v>
      </c>
      <c r="BA67" s="0" t="s">
        <v>358</v>
      </c>
      <c r="BB67" s="0" t="s">
        <v>312</v>
      </c>
      <c r="BC67" s="0" t="s">
        <v>363</v>
      </c>
      <c r="BI67" s="0" t="n">
        <v>13517000</v>
      </c>
      <c r="BJ67" s="0" t="n">
        <v>13517000</v>
      </c>
      <c r="BK67" s="0" t="s">
        <v>200</v>
      </c>
      <c r="BL67" s="0" t="s">
        <v>201</v>
      </c>
      <c r="BN67" s="0" t="n">
        <v>16.2</v>
      </c>
      <c r="BO67" s="0" t="n">
        <v>21.79</v>
      </c>
      <c r="BP67" s="0" t="s">
        <v>202</v>
      </c>
      <c r="BQ67" s="0" t="s">
        <v>187</v>
      </c>
      <c r="BR67" s="0" t="s">
        <v>203</v>
      </c>
      <c r="BS67" s="0" t="s">
        <v>364</v>
      </c>
      <c r="BT67" s="0" t="s">
        <v>205</v>
      </c>
      <c r="BU67" s="0" t="s">
        <v>220</v>
      </c>
      <c r="BW67" s="0" t="s">
        <v>257</v>
      </c>
      <c r="BX67" s="0" t="s">
        <v>217</v>
      </c>
      <c r="BY67" s="0" t="n">
        <v>210</v>
      </c>
      <c r="BZ67" s="0" t="n">
        <v>210</v>
      </c>
      <c r="CB67" s="0" t="s">
        <v>208</v>
      </c>
      <c r="CC67" s="0" t="s">
        <v>209</v>
      </c>
      <c r="CD67" s="0" t="s">
        <v>209</v>
      </c>
      <c r="CE67" s="0" t="s">
        <v>210</v>
      </c>
      <c r="CF67" s="0" t="s">
        <v>211</v>
      </c>
      <c r="CG67" s="0" t="s">
        <v>211</v>
      </c>
      <c r="CH67" s="1" t="n">
        <v>46112</v>
      </c>
      <c r="CI67" s="0" t="n">
        <v>1.2</v>
      </c>
      <c r="CJ67" s="0" t="n">
        <v>2.75</v>
      </c>
      <c r="CK67" s="0" t="n">
        <v>2.89</v>
      </c>
      <c r="CL67" s="0" t="s">
        <v>212</v>
      </c>
      <c r="DA67" s="0" t="n">
        <v>0.76</v>
      </c>
      <c r="DC67" s="0" t="n">
        <v>0.85</v>
      </c>
      <c r="DD67" s="0" t="s">
        <v>212</v>
      </c>
      <c r="ED67" s="0" t="s">
        <v>212</v>
      </c>
      <c r="EE67" s="0" t="n">
        <v>1.05</v>
      </c>
      <c r="EI67" s="0" t="n">
        <v>1.6</v>
      </c>
      <c r="FQ67" s="0" t="n">
        <v>13641179</v>
      </c>
    </row>
    <row r="68" customFormat="false" ht="15" hidden="false" customHeight="false" outlineLevel="0" collapsed="false">
      <c r="B68" s="0" t="str">
        <f aca="false">C68&amp;"x"&amp;I68</f>
        <v>61002x100212</v>
      </c>
      <c r="C68" s="0" t="n">
        <f aca="false">IF(G68="SINGLE",H68,G68)</f>
        <v>61002</v>
      </c>
      <c r="D68" s="0" t="e">
        <f aca="false">_xlfn.XLOOKUP(I68,calculations!$t:$t,calculations!$s:$s)</f>
        <v>#VALUE!</v>
      </c>
      <c r="E68" s="0" t="str">
        <f aca="false">_xlfn.XLOOKUP(I68,Mapping!$T:$T,Mapping!$Q:$Q)</f>
        <v>KEST11</v>
      </c>
      <c r="F68" s="1" t="n">
        <v>46203</v>
      </c>
      <c r="G68" s="0" t="n">
        <v>61002</v>
      </c>
      <c r="H68" s="0" t="n">
        <v>61002</v>
      </c>
      <c r="I68" s="0" t="n">
        <v>100212</v>
      </c>
      <c r="J68" s="0" t="s">
        <v>355</v>
      </c>
      <c r="K68" s="0" t="s">
        <v>333</v>
      </c>
      <c r="L68" s="0" t="s">
        <v>333</v>
      </c>
      <c r="M68" s="0" t="s">
        <v>184</v>
      </c>
      <c r="N68" s="0" t="n">
        <v>16871000</v>
      </c>
      <c r="O68" s="0" t="n">
        <v>16871000</v>
      </c>
      <c r="P68" s="0" t="s">
        <v>185</v>
      </c>
      <c r="Q68" s="0" t="s">
        <v>186</v>
      </c>
      <c r="R68" s="0" t="s">
        <v>187</v>
      </c>
      <c r="S68" s="0" t="s">
        <v>356</v>
      </c>
      <c r="T68" s="0" t="s">
        <v>189</v>
      </c>
      <c r="U68" s="0" t="s">
        <v>357</v>
      </c>
      <c r="V68" s="0" t="s">
        <v>358</v>
      </c>
      <c r="W68" s="0" t="s">
        <v>281</v>
      </c>
      <c r="X68" s="0" t="s">
        <v>359</v>
      </c>
      <c r="Y68" s="0" t="n">
        <v>17.4</v>
      </c>
      <c r="Z68" s="0" t="s">
        <v>185</v>
      </c>
      <c r="AA68" s="0" t="n">
        <v>1</v>
      </c>
      <c r="AB68" s="0" t="s">
        <v>187</v>
      </c>
      <c r="AC68" s="0" t="n">
        <v>17187000</v>
      </c>
      <c r="AD68" s="0" t="n">
        <v>17187000</v>
      </c>
      <c r="AE68" s="0" t="n">
        <v>17187000</v>
      </c>
      <c r="AF68" s="0" t="n">
        <v>0.9816</v>
      </c>
      <c r="AG68" s="0" t="n">
        <v>16871000</v>
      </c>
      <c r="AH68" s="0" t="n">
        <v>16871000</v>
      </c>
      <c r="AI68" s="0" t="n">
        <v>316000</v>
      </c>
      <c r="AJ68" s="0" t="n">
        <v>17187000</v>
      </c>
      <c r="AK68" s="0" t="n">
        <v>16871000</v>
      </c>
      <c r="AL68" s="0" t="n">
        <v>16871000</v>
      </c>
      <c r="AM68" s="0" t="s">
        <v>194</v>
      </c>
      <c r="AN68" s="0" t="n">
        <v>3.926</v>
      </c>
      <c r="AO68" s="0" t="n">
        <v>3.422</v>
      </c>
      <c r="AP68" s="0" t="n">
        <v>3.391</v>
      </c>
      <c r="AQ68" s="0" t="n">
        <v>100</v>
      </c>
      <c r="AR68" s="0" t="n">
        <v>100</v>
      </c>
      <c r="AS68" s="1" t="n">
        <v>44300</v>
      </c>
      <c r="AT68" s="1" t="n">
        <v>54162</v>
      </c>
      <c r="AU68" s="1" t="n">
        <v>46295</v>
      </c>
      <c r="AV68" s="0" t="s">
        <v>360</v>
      </c>
      <c r="AW68" s="0" t="s">
        <v>312</v>
      </c>
      <c r="AX68" s="0" t="s">
        <v>187</v>
      </c>
      <c r="AY68" s="0" t="s">
        <v>361</v>
      </c>
      <c r="AZ68" s="0" t="s">
        <v>362</v>
      </c>
      <c r="BA68" s="0" t="s">
        <v>358</v>
      </c>
      <c r="BB68" s="0" t="s">
        <v>312</v>
      </c>
      <c r="BC68" s="0" t="s">
        <v>363</v>
      </c>
      <c r="BI68" s="0" t="n">
        <v>17187000</v>
      </c>
      <c r="BJ68" s="0" t="n">
        <v>17187000</v>
      </c>
      <c r="BK68" s="0" t="s">
        <v>200</v>
      </c>
      <c r="BL68" s="0" t="s">
        <v>201</v>
      </c>
      <c r="BN68" s="0" t="n">
        <v>16.2</v>
      </c>
      <c r="BO68" s="0" t="n">
        <v>21.79</v>
      </c>
      <c r="BP68" s="0" t="s">
        <v>202</v>
      </c>
      <c r="BQ68" s="0" t="s">
        <v>187</v>
      </c>
      <c r="BR68" s="0" t="s">
        <v>203</v>
      </c>
      <c r="BS68" s="0" t="s">
        <v>364</v>
      </c>
      <c r="BT68" s="0" t="s">
        <v>205</v>
      </c>
      <c r="BU68" s="0" t="s">
        <v>216</v>
      </c>
      <c r="BW68" s="0" t="s">
        <v>206</v>
      </c>
      <c r="BX68" s="0" t="s">
        <v>207</v>
      </c>
      <c r="BY68" s="0" t="n">
        <v>210</v>
      </c>
      <c r="BZ68" s="0" t="n">
        <v>210</v>
      </c>
      <c r="CB68" s="0" t="s">
        <v>208</v>
      </c>
      <c r="CC68" s="0" t="s">
        <v>209</v>
      </c>
      <c r="CD68" s="0" t="s">
        <v>209</v>
      </c>
      <c r="CE68" s="0" t="s">
        <v>210</v>
      </c>
      <c r="CF68" s="0" t="s">
        <v>211</v>
      </c>
      <c r="CG68" s="0" t="s">
        <v>211</v>
      </c>
      <c r="CH68" s="1" t="n">
        <v>46112</v>
      </c>
      <c r="CI68" s="0" t="n">
        <v>1.2</v>
      </c>
      <c r="CJ68" s="0" t="n">
        <v>2.3</v>
      </c>
      <c r="CK68" s="0" t="n">
        <v>2.42</v>
      </c>
      <c r="CL68" s="0" t="s">
        <v>212</v>
      </c>
      <c r="DA68" s="0" t="n">
        <v>0.71</v>
      </c>
      <c r="DC68" s="0" t="n">
        <v>0.85</v>
      </c>
      <c r="DD68" s="0" t="s">
        <v>212</v>
      </c>
      <c r="ED68" s="0" t="s">
        <v>213</v>
      </c>
      <c r="EE68" s="0" t="n">
        <v>1.05</v>
      </c>
      <c r="EI68" s="0" t="n">
        <v>1.12</v>
      </c>
      <c r="FQ68" s="0" t="n">
        <v>19825958</v>
      </c>
    </row>
    <row r="69" customFormat="false" ht="15" hidden="false" customHeight="false" outlineLevel="0" collapsed="false">
      <c r="B69" s="0" t="str">
        <f aca="false">C69&amp;"x"&amp;I69</f>
        <v>61001x100213</v>
      </c>
      <c r="C69" s="0" t="n">
        <f aca="false">IF(G69="SINGLE",H69,G69)</f>
        <v>61001</v>
      </c>
      <c r="D69" s="0" t="e">
        <f aca="false">_xlfn.XLOOKUP(I69,calculations!$t:$t,calculations!$s:$s)</f>
        <v>#VALUE!</v>
      </c>
      <c r="E69" s="0" t="str">
        <f aca="false">_xlfn.XLOOKUP(I69,Mapping!$T:$T,Mapping!$Q:$Q)</f>
        <v>LUME12</v>
      </c>
      <c r="F69" s="1" t="n">
        <v>46203</v>
      </c>
      <c r="G69" s="0" t="n">
        <v>61001</v>
      </c>
      <c r="H69" s="0" t="n">
        <v>61001</v>
      </c>
      <c r="I69" s="0" t="n">
        <v>100213</v>
      </c>
      <c r="J69" s="0" t="s">
        <v>365</v>
      </c>
      <c r="K69" s="0" t="s">
        <v>345</v>
      </c>
      <c r="L69" s="0" t="s">
        <v>345</v>
      </c>
      <c r="M69" s="0" t="s">
        <v>184</v>
      </c>
      <c r="N69" s="0" t="n">
        <v>6470000</v>
      </c>
      <c r="O69" s="0" t="n">
        <v>6470000</v>
      </c>
      <c r="P69" s="0" t="s">
        <v>185</v>
      </c>
      <c r="Q69" s="0" t="s">
        <v>227</v>
      </c>
      <c r="R69" s="0" t="s">
        <v>187</v>
      </c>
      <c r="S69" s="0" t="s">
        <v>366</v>
      </c>
      <c r="T69" s="0" t="s">
        <v>189</v>
      </c>
      <c r="U69" s="0" t="s">
        <v>367</v>
      </c>
      <c r="V69" s="0" t="s">
        <v>368</v>
      </c>
      <c r="W69" s="0" t="s">
        <v>296</v>
      </c>
      <c r="X69" s="0" t="s">
        <v>369</v>
      </c>
      <c r="Y69" s="0" t="n">
        <v>11</v>
      </c>
      <c r="Z69" s="0" t="s">
        <v>185</v>
      </c>
      <c r="AA69" s="0" t="n">
        <v>1</v>
      </c>
      <c r="AB69" s="0" t="s">
        <v>187</v>
      </c>
      <c r="AC69" s="0" t="n">
        <v>6890000</v>
      </c>
      <c r="AD69" s="0" t="n">
        <v>6890000</v>
      </c>
      <c r="AE69" s="0" t="n">
        <v>6890000</v>
      </c>
      <c r="AF69" s="0" t="n">
        <v>0.939</v>
      </c>
      <c r="AG69" s="0" t="n">
        <v>6470000</v>
      </c>
      <c r="AH69" s="0" t="n">
        <v>6470000</v>
      </c>
      <c r="AI69" s="0" t="n">
        <v>420000</v>
      </c>
      <c r="AJ69" s="0" t="n">
        <v>6890000</v>
      </c>
      <c r="AK69" s="0" t="n">
        <v>6470000</v>
      </c>
      <c r="AL69" s="0" t="n">
        <v>6470000</v>
      </c>
      <c r="AN69" s="0" t="n">
        <v>3.477</v>
      </c>
      <c r="AO69" s="0" t="n">
        <v>3.862</v>
      </c>
      <c r="AP69" s="0" t="n">
        <v>3.298</v>
      </c>
      <c r="AQ69" s="0" t="n">
        <v>100</v>
      </c>
      <c r="AR69" s="0" t="n">
        <v>100</v>
      </c>
      <c r="AS69" s="1" t="n">
        <v>44813</v>
      </c>
      <c r="AT69" s="1" t="n">
        <v>51753</v>
      </c>
      <c r="AU69" s="1" t="n">
        <v>46295</v>
      </c>
      <c r="AV69" s="0" t="s">
        <v>370</v>
      </c>
      <c r="AW69" s="0" t="s">
        <v>327</v>
      </c>
      <c r="AX69" s="0" t="s">
        <v>187</v>
      </c>
      <c r="AY69" s="0" t="s">
        <v>371</v>
      </c>
      <c r="AZ69" s="0" t="s">
        <v>372</v>
      </c>
      <c r="BA69" s="0" t="s">
        <v>368</v>
      </c>
      <c r="BB69" s="0" t="s">
        <v>327</v>
      </c>
      <c r="BC69" s="0" t="s">
        <v>373</v>
      </c>
      <c r="BI69" s="0" t="n">
        <v>6890000</v>
      </c>
      <c r="BJ69" s="0" t="n">
        <v>6890000</v>
      </c>
      <c r="BK69" s="0" t="s">
        <v>253</v>
      </c>
      <c r="BL69" s="0" t="s">
        <v>201</v>
      </c>
      <c r="BN69" s="0" t="n">
        <v>11.4</v>
      </c>
      <c r="BO69" s="0" t="n">
        <v>15.2</v>
      </c>
      <c r="BP69" s="0" t="s">
        <v>187</v>
      </c>
      <c r="BQ69" s="0" t="s">
        <v>187</v>
      </c>
      <c r="BR69" s="0" t="s">
        <v>203</v>
      </c>
      <c r="BS69" s="0" t="s">
        <v>374</v>
      </c>
      <c r="BT69" s="0" t="s">
        <v>216</v>
      </c>
      <c r="BU69" s="0" t="s">
        <v>220</v>
      </c>
      <c r="BW69" s="0" t="s">
        <v>257</v>
      </c>
      <c r="BX69" s="0" t="s">
        <v>217</v>
      </c>
      <c r="BY69" s="0" t="n">
        <v>140</v>
      </c>
      <c r="BZ69" s="0" t="n">
        <v>140</v>
      </c>
      <c r="CC69" s="0" t="s">
        <v>256</v>
      </c>
      <c r="CD69" s="0" t="s">
        <v>256</v>
      </c>
      <c r="CE69" s="0" t="s">
        <v>211</v>
      </c>
      <c r="CF69" s="0" t="s">
        <v>211</v>
      </c>
      <c r="CG69" s="0" t="s">
        <v>211</v>
      </c>
      <c r="CH69" s="1" t="n">
        <v>46112</v>
      </c>
      <c r="CI69" s="0" t="n">
        <v>1.2</v>
      </c>
      <c r="CJ69" s="0" t="n">
        <v>2.99</v>
      </c>
      <c r="CK69" s="0" t="n">
        <v>3.14</v>
      </c>
      <c r="CL69" s="0" t="s">
        <v>212</v>
      </c>
      <c r="DA69" s="0" t="n">
        <v>0.48</v>
      </c>
      <c r="DC69" s="0" t="n">
        <v>0.85</v>
      </c>
      <c r="DD69" s="0" t="s">
        <v>212</v>
      </c>
      <c r="ED69" s="0" t="s">
        <v>212</v>
      </c>
      <c r="EE69" s="0" t="n">
        <v>1.05</v>
      </c>
      <c r="EI69" s="0" t="n">
        <v>1.48</v>
      </c>
      <c r="FQ69" s="0" t="n">
        <v>27725621</v>
      </c>
    </row>
    <row r="70" customFormat="false" ht="15" hidden="false" customHeight="false" outlineLevel="0" collapsed="false">
      <c r="B70" s="0" t="str">
        <f aca="false">C70&amp;"x"&amp;I70</f>
        <v>61001x100214</v>
      </c>
      <c r="C70" s="0" t="n">
        <f aca="false">IF(G70="SINGLE",H70,G70)</f>
        <v>61001</v>
      </c>
      <c r="D70" s="0" t="e">
        <f aca="false">_xlfn.XLOOKUP(I70,calculations!$t:$t,calculations!$s:$s)</f>
        <v>#VALUE!</v>
      </c>
      <c r="E70" s="0" t="str">
        <f aca="false">_xlfn.XLOOKUP(I70,Mapping!$T:$T,Mapping!$Q:$Q)</f>
        <v>LUME12</v>
      </c>
      <c r="F70" s="1" t="n">
        <v>46203</v>
      </c>
      <c r="G70" s="0" t="n">
        <v>61001</v>
      </c>
      <c r="H70" s="0" t="n">
        <v>61001</v>
      </c>
      <c r="I70" s="0" t="n">
        <v>100214</v>
      </c>
      <c r="J70" s="0" t="s">
        <v>375</v>
      </c>
      <c r="K70" s="0" t="s">
        <v>345</v>
      </c>
      <c r="L70" s="0" t="s">
        <v>345</v>
      </c>
      <c r="M70" s="0" t="s">
        <v>184</v>
      </c>
      <c r="N70" s="0" t="n">
        <v>4313000</v>
      </c>
      <c r="O70" s="0" t="n">
        <v>4313000</v>
      </c>
      <c r="P70" s="0" t="s">
        <v>185</v>
      </c>
      <c r="Q70" s="0" t="s">
        <v>227</v>
      </c>
      <c r="R70" s="0" t="s">
        <v>187</v>
      </c>
      <c r="S70" s="0" t="s">
        <v>376</v>
      </c>
      <c r="T70" s="0" t="s">
        <v>189</v>
      </c>
      <c r="U70" s="0" t="s">
        <v>367</v>
      </c>
      <c r="V70" s="0" t="s">
        <v>368</v>
      </c>
      <c r="W70" s="0" t="s">
        <v>296</v>
      </c>
      <c r="X70" s="0" t="s">
        <v>369</v>
      </c>
      <c r="Y70" s="0" t="n">
        <v>11</v>
      </c>
      <c r="Z70" s="0" t="s">
        <v>185</v>
      </c>
      <c r="AA70" s="0" t="n">
        <v>1</v>
      </c>
      <c r="AB70" s="0" t="s">
        <v>187</v>
      </c>
      <c r="AC70" s="0" t="n">
        <v>4593000</v>
      </c>
      <c r="AD70" s="0" t="n">
        <v>4593000</v>
      </c>
      <c r="AE70" s="0" t="n">
        <v>4593000</v>
      </c>
      <c r="AF70" s="0" t="n">
        <v>0.939</v>
      </c>
      <c r="AG70" s="0" t="n">
        <v>4313000</v>
      </c>
      <c r="AH70" s="0" t="n">
        <v>4313000</v>
      </c>
      <c r="AI70" s="0" t="n">
        <v>280000</v>
      </c>
      <c r="AJ70" s="0" t="n">
        <v>4593000</v>
      </c>
      <c r="AK70" s="0" t="n">
        <v>4313000</v>
      </c>
      <c r="AL70" s="0" t="n">
        <v>4313000</v>
      </c>
      <c r="AN70" s="0" t="n">
        <v>2.885</v>
      </c>
      <c r="AO70" s="0" t="n">
        <v>6.472</v>
      </c>
      <c r="AP70" s="0" t="n">
        <v>2.985</v>
      </c>
      <c r="AQ70" s="0" t="n">
        <v>100</v>
      </c>
      <c r="AR70" s="0" t="n">
        <v>100</v>
      </c>
      <c r="AS70" s="1" t="n">
        <v>44813</v>
      </c>
      <c r="AT70" s="1" t="n">
        <v>51753</v>
      </c>
      <c r="AU70" s="1" t="n">
        <v>46295</v>
      </c>
      <c r="AV70" s="0" t="s">
        <v>370</v>
      </c>
      <c r="AW70" s="0" t="s">
        <v>327</v>
      </c>
      <c r="AX70" s="0" t="s">
        <v>187</v>
      </c>
      <c r="AY70" s="0" t="s">
        <v>371</v>
      </c>
      <c r="AZ70" s="0" t="s">
        <v>372</v>
      </c>
      <c r="BA70" s="0" t="s">
        <v>368</v>
      </c>
      <c r="BB70" s="0" t="s">
        <v>327</v>
      </c>
      <c r="BC70" s="0" t="s">
        <v>373</v>
      </c>
      <c r="BI70" s="0" t="n">
        <v>4593000</v>
      </c>
      <c r="BJ70" s="0" t="n">
        <v>4593000</v>
      </c>
      <c r="BK70" s="0" t="s">
        <v>253</v>
      </c>
      <c r="BL70" s="0" t="s">
        <v>201</v>
      </c>
      <c r="BN70" s="0" t="n">
        <v>11.4</v>
      </c>
      <c r="BO70" s="0" t="n">
        <v>15.2</v>
      </c>
      <c r="BP70" s="0" t="s">
        <v>187</v>
      </c>
      <c r="BQ70" s="0" t="s">
        <v>187</v>
      </c>
      <c r="BR70" s="0" t="s">
        <v>203</v>
      </c>
      <c r="BS70" s="0" t="s">
        <v>377</v>
      </c>
      <c r="BT70" s="0" t="s">
        <v>216</v>
      </c>
      <c r="BU70" s="0" t="s">
        <v>205</v>
      </c>
      <c r="BW70" s="0" t="s">
        <v>206</v>
      </c>
      <c r="BX70" s="0" t="s">
        <v>207</v>
      </c>
      <c r="BY70" s="0" t="n">
        <v>140</v>
      </c>
      <c r="BZ70" s="0" t="n">
        <v>140</v>
      </c>
      <c r="CC70" s="0" t="s">
        <v>256</v>
      </c>
      <c r="CD70" s="0" t="s">
        <v>256</v>
      </c>
      <c r="CE70" s="0" t="s">
        <v>211</v>
      </c>
      <c r="CF70" s="0" t="s">
        <v>211</v>
      </c>
      <c r="CG70" s="0" t="s">
        <v>211</v>
      </c>
      <c r="CH70" s="1" t="n">
        <v>46112</v>
      </c>
      <c r="CI70" s="0" t="n">
        <v>1.2</v>
      </c>
      <c r="CJ70" s="0" t="n">
        <v>1.65</v>
      </c>
      <c r="CK70" s="0" t="n">
        <v>1.73</v>
      </c>
      <c r="CL70" s="0" t="s">
        <v>212</v>
      </c>
      <c r="DA70" s="0" t="n">
        <v>0.71</v>
      </c>
      <c r="DC70" s="0" t="n">
        <v>0.85</v>
      </c>
      <c r="DD70" s="0" t="s">
        <v>212</v>
      </c>
      <c r="ED70" s="0" t="s">
        <v>212</v>
      </c>
      <c r="EE70" s="0" t="n">
        <v>1.05</v>
      </c>
      <c r="EI70" s="0" t="n">
        <v>1.78</v>
      </c>
      <c r="FQ70" s="0" t="n">
        <v>21050881</v>
      </c>
    </row>
    <row r="71" customFormat="false" ht="15" hidden="false" customHeight="false" outlineLevel="0" collapsed="false">
      <c r="B71" s="0" t="str">
        <f aca="false">C71&amp;"x"&amp;I71</f>
        <v>61003x100213</v>
      </c>
      <c r="C71" s="0" t="n">
        <f aca="false">IF(G71="SINGLE",H71,G71)</f>
        <v>61003</v>
      </c>
      <c r="D71" s="0" t="e">
        <f aca="false">_xlfn.XLOOKUP(I71,calculations!$t:$t,calculations!$s:$s)</f>
        <v>#VALUE!</v>
      </c>
      <c r="E71" s="0" t="str">
        <f aca="false">_xlfn.XLOOKUP(I71,Mapping!$T:$T,Mapping!$Q:$Q)</f>
        <v>LUME12</v>
      </c>
      <c r="F71" s="1" t="n">
        <v>46203</v>
      </c>
      <c r="G71" s="0" t="n">
        <v>61003</v>
      </c>
      <c r="H71" s="0" t="n">
        <v>61003</v>
      </c>
      <c r="I71" s="0" t="n">
        <v>100213</v>
      </c>
      <c r="J71" s="0" t="s">
        <v>365</v>
      </c>
      <c r="K71" s="0" t="s">
        <v>226</v>
      </c>
      <c r="L71" s="0" t="s">
        <v>226</v>
      </c>
      <c r="M71" s="0" t="s">
        <v>184</v>
      </c>
      <c r="N71" s="0" t="n">
        <v>15810000</v>
      </c>
      <c r="O71" s="0" t="n">
        <v>15810000</v>
      </c>
      <c r="P71" s="0" t="s">
        <v>185</v>
      </c>
      <c r="Q71" s="0" t="s">
        <v>227</v>
      </c>
      <c r="R71" s="0" t="s">
        <v>187</v>
      </c>
      <c r="S71" s="0" t="s">
        <v>366</v>
      </c>
      <c r="T71" s="0" t="s">
        <v>189</v>
      </c>
      <c r="U71" s="0" t="s">
        <v>367</v>
      </c>
      <c r="V71" s="0" t="s">
        <v>368</v>
      </c>
      <c r="W71" s="0" t="s">
        <v>296</v>
      </c>
      <c r="X71" s="0" t="s">
        <v>369</v>
      </c>
      <c r="Y71" s="0" t="n">
        <v>11</v>
      </c>
      <c r="Z71" s="0" t="s">
        <v>185</v>
      </c>
      <c r="AA71" s="0" t="n">
        <v>1</v>
      </c>
      <c r="AB71" s="0" t="s">
        <v>187</v>
      </c>
      <c r="AC71" s="0" t="n">
        <v>16836000</v>
      </c>
      <c r="AD71" s="0" t="n">
        <v>16836000</v>
      </c>
      <c r="AE71" s="0" t="n">
        <v>16836000</v>
      </c>
      <c r="AF71" s="0" t="n">
        <v>0.9391</v>
      </c>
      <c r="AG71" s="0" t="n">
        <v>15810000</v>
      </c>
      <c r="AH71" s="0" t="n">
        <v>15810000</v>
      </c>
      <c r="AI71" s="0" t="n">
        <v>1026000</v>
      </c>
      <c r="AJ71" s="0" t="n">
        <v>16836000</v>
      </c>
      <c r="AK71" s="0" t="n">
        <v>15810000</v>
      </c>
      <c r="AL71" s="0" t="n">
        <v>15810000</v>
      </c>
      <c r="AN71" s="0" t="n">
        <v>2.955</v>
      </c>
      <c r="AO71" s="0" t="n">
        <v>3.952</v>
      </c>
      <c r="AP71" s="0" t="n">
        <v>6.342</v>
      </c>
      <c r="AQ71" s="0" t="n">
        <v>100</v>
      </c>
      <c r="AR71" s="0" t="n">
        <v>100</v>
      </c>
      <c r="AS71" s="1" t="n">
        <v>44813</v>
      </c>
      <c r="AT71" s="1" t="n">
        <v>51753</v>
      </c>
      <c r="AU71" s="1" t="n">
        <v>46295</v>
      </c>
      <c r="AV71" s="0" t="s">
        <v>370</v>
      </c>
      <c r="AW71" s="0" t="s">
        <v>327</v>
      </c>
      <c r="AX71" s="0" t="s">
        <v>187</v>
      </c>
      <c r="AY71" s="0" t="s">
        <v>371</v>
      </c>
      <c r="AZ71" s="0" t="s">
        <v>372</v>
      </c>
      <c r="BA71" s="0" t="s">
        <v>368</v>
      </c>
      <c r="BB71" s="0" t="s">
        <v>327</v>
      </c>
      <c r="BC71" s="0" t="s">
        <v>373</v>
      </c>
      <c r="BI71" s="0" t="n">
        <v>16836000</v>
      </c>
      <c r="BJ71" s="0" t="n">
        <v>16836000</v>
      </c>
      <c r="BK71" s="0" t="s">
        <v>253</v>
      </c>
      <c r="BL71" s="0" t="s">
        <v>201</v>
      </c>
      <c r="BN71" s="0" t="n">
        <v>11.4</v>
      </c>
      <c r="BO71" s="0" t="n">
        <v>15.2</v>
      </c>
      <c r="BP71" s="0" t="s">
        <v>187</v>
      </c>
      <c r="BQ71" s="0" t="s">
        <v>187</v>
      </c>
      <c r="BR71" s="0" t="s">
        <v>203</v>
      </c>
      <c r="BS71" s="0" t="s">
        <v>374</v>
      </c>
      <c r="BT71" s="0" t="s">
        <v>216</v>
      </c>
      <c r="BU71" s="0" t="s">
        <v>255</v>
      </c>
      <c r="BW71" s="0" t="s">
        <v>206</v>
      </c>
      <c r="BX71" s="0" t="s">
        <v>207</v>
      </c>
      <c r="BY71" s="0" t="n">
        <v>140</v>
      </c>
      <c r="BZ71" s="0" t="n">
        <v>140</v>
      </c>
      <c r="CC71" s="0" t="s">
        <v>256</v>
      </c>
      <c r="CD71" s="0" t="s">
        <v>256</v>
      </c>
      <c r="CE71" s="0" t="s">
        <v>211</v>
      </c>
      <c r="CF71" s="0" t="s">
        <v>211</v>
      </c>
      <c r="CG71" s="0" t="s">
        <v>211</v>
      </c>
      <c r="CH71" s="1" t="n">
        <v>46112</v>
      </c>
      <c r="CI71" s="0" t="n">
        <v>1.2</v>
      </c>
      <c r="CJ71" s="0" t="n">
        <v>2.04</v>
      </c>
      <c r="CK71" s="0" t="n">
        <v>2.14</v>
      </c>
      <c r="CL71" s="0" t="s">
        <v>212</v>
      </c>
      <c r="DA71" s="0" t="n">
        <v>0.66</v>
      </c>
      <c r="DC71" s="0" t="n">
        <v>0.85</v>
      </c>
      <c r="DD71" s="0" t="s">
        <v>212</v>
      </c>
      <c r="ED71" s="0" t="s">
        <v>212</v>
      </c>
      <c r="EE71" s="0" t="n">
        <v>1.05</v>
      </c>
      <c r="EI71" s="0" t="n">
        <v>1.7</v>
      </c>
      <c r="FQ71" s="0" t="n">
        <v>27329550</v>
      </c>
    </row>
    <row r="72" customFormat="false" ht="15" hidden="false" customHeight="false" outlineLevel="0" collapsed="false">
      <c r="B72" s="0" t="str">
        <f aca="false">C72&amp;"x"&amp;I72</f>
        <v>61003x100214</v>
      </c>
      <c r="C72" s="0" t="n">
        <f aca="false">IF(G72="SINGLE",H72,G72)</f>
        <v>61003</v>
      </c>
      <c r="D72" s="0" t="e">
        <f aca="false">_xlfn.XLOOKUP(I72,calculations!$t:$t,calculations!$s:$s)</f>
        <v>#VALUE!</v>
      </c>
      <c r="E72" s="0" t="str">
        <f aca="false">_xlfn.XLOOKUP(I72,Mapping!$T:$T,Mapping!$Q:$Q)</f>
        <v>LUME12</v>
      </c>
      <c r="F72" s="1" t="n">
        <v>46203</v>
      </c>
      <c r="G72" s="0" t="n">
        <v>61003</v>
      </c>
      <c r="H72" s="0" t="n">
        <v>61003</v>
      </c>
      <c r="I72" s="0" t="n">
        <v>100214</v>
      </c>
      <c r="J72" s="0" t="s">
        <v>375</v>
      </c>
      <c r="K72" s="0" t="s">
        <v>226</v>
      </c>
      <c r="L72" s="0" t="s">
        <v>226</v>
      </c>
      <c r="M72" s="0" t="s">
        <v>184</v>
      </c>
      <c r="N72" s="0" t="n">
        <v>10540000</v>
      </c>
      <c r="O72" s="0" t="n">
        <v>10540000</v>
      </c>
      <c r="P72" s="0" t="s">
        <v>185</v>
      </c>
      <c r="Q72" s="0" t="s">
        <v>227</v>
      </c>
      <c r="R72" s="0" t="s">
        <v>187</v>
      </c>
      <c r="S72" s="0" t="s">
        <v>376</v>
      </c>
      <c r="T72" s="0" t="s">
        <v>189</v>
      </c>
      <c r="U72" s="0" t="s">
        <v>367</v>
      </c>
      <c r="V72" s="0" t="s">
        <v>368</v>
      </c>
      <c r="W72" s="0" t="s">
        <v>296</v>
      </c>
      <c r="X72" s="0" t="s">
        <v>369</v>
      </c>
      <c r="Y72" s="0" t="n">
        <v>11</v>
      </c>
      <c r="Z72" s="0" t="s">
        <v>185</v>
      </c>
      <c r="AA72" s="0" t="n">
        <v>1</v>
      </c>
      <c r="AB72" s="0" t="s">
        <v>187</v>
      </c>
      <c r="AC72" s="0" t="n">
        <v>11224000</v>
      </c>
      <c r="AD72" s="0" t="n">
        <v>11224000</v>
      </c>
      <c r="AE72" s="0" t="n">
        <v>11224000</v>
      </c>
      <c r="AF72" s="0" t="n">
        <v>0.9391</v>
      </c>
      <c r="AG72" s="0" t="n">
        <v>10540000</v>
      </c>
      <c r="AH72" s="0" t="n">
        <v>10540000</v>
      </c>
      <c r="AI72" s="0" t="n">
        <v>684000</v>
      </c>
      <c r="AJ72" s="0" t="n">
        <v>11224000</v>
      </c>
      <c r="AK72" s="0" t="n">
        <v>10540000</v>
      </c>
      <c r="AL72" s="0" t="n">
        <v>10540000</v>
      </c>
      <c r="AN72" s="0" t="n">
        <v>6.335</v>
      </c>
      <c r="AO72" s="0" t="n">
        <v>5.056</v>
      </c>
      <c r="AP72" s="0" t="n">
        <v>5.534</v>
      </c>
      <c r="AQ72" s="0" t="n">
        <v>100</v>
      </c>
      <c r="AR72" s="0" t="n">
        <v>100</v>
      </c>
      <c r="AS72" s="1" t="n">
        <v>44813</v>
      </c>
      <c r="AT72" s="1" t="n">
        <v>51753</v>
      </c>
      <c r="AU72" s="1" t="n">
        <v>46295</v>
      </c>
      <c r="AV72" s="0" t="s">
        <v>370</v>
      </c>
      <c r="AW72" s="0" t="s">
        <v>327</v>
      </c>
      <c r="AX72" s="0" t="s">
        <v>187</v>
      </c>
      <c r="AY72" s="0" t="s">
        <v>371</v>
      </c>
      <c r="AZ72" s="0" t="s">
        <v>372</v>
      </c>
      <c r="BA72" s="0" t="s">
        <v>368</v>
      </c>
      <c r="BB72" s="0" t="s">
        <v>327</v>
      </c>
      <c r="BC72" s="0" t="s">
        <v>373</v>
      </c>
      <c r="BI72" s="0" t="n">
        <v>11224000</v>
      </c>
      <c r="BJ72" s="0" t="n">
        <v>11224000</v>
      </c>
      <c r="BK72" s="0" t="s">
        <v>253</v>
      </c>
      <c r="BL72" s="0" t="s">
        <v>201</v>
      </c>
      <c r="BN72" s="0" t="n">
        <v>11.4</v>
      </c>
      <c r="BO72" s="0" t="n">
        <v>15.2</v>
      </c>
      <c r="BP72" s="0" t="s">
        <v>187</v>
      </c>
      <c r="BQ72" s="0" t="s">
        <v>187</v>
      </c>
      <c r="BR72" s="0" t="s">
        <v>203</v>
      </c>
      <c r="BS72" s="0" t="s">
        <v>377</v>
      </c>
      <c r="BT72" s="0" t="s">
        <v>216</v>
      </c>
      <c r="BU72" s="0" t="s">
        <v>205</v>
      </c>
      <c r="BW72" s="0" t="s">
        <v>206</v>
      </c>
      <c r="BX72" s="0" t="s">
        <v>217</v>
      </c>
      <c r="BY72" s="0" t="n">
        <v>140</v>
      </c>
      <c r="BZ72" s="0" t="n">
        <v>140</v>
      </c>
      <c r="CC72" s="0" t="s">
        <v>256</v>
      </c>
      <c r="CD72" s="0" t="s">
        <v>256</v>
      </c>
      <c r="CE72" s="0" t="s">
        <v>211</v>
      </c>
      <c r="CF72" s="0" t="s">
        <v>211</v>
      </c>
      <c r="CG72" s="0" t="s">
        <v>211</v>
      </c>
      <c r="CH72" s="1" t="n">
        <v>46112</v>
      </c>
      <c r="CI72" s="0" t="n">
        <v>1.2</v>
      </c>
      <c r="CJ72" s="0" t="n">
        <v>1.45</v>
      </c>
      <c r="CK72" s="0" t="n">
        <v>1.52</v>
      </c>
      <c r="CL72" s="0" t="s">
        <v>212</v>
      </c>
      <c r="DA72" s="0" t="n">
        <v>0.76</v>
      </c>
      <c r="DC72" s="0" t="n">
        <v>0.85</v>
      </c>
      <c r="DD72" s="0" t="s">
        <v>212</v>
      </c>
      <c r="ED72" s="0" t="s">
        <v>212</v>
      </c>
      <c r="EE72" s="0" t="n">
        <v>1.05</v>
      </c>
      <c r="EI72" s="0" t="n">
        <v>1.93</v>
      </c>
      <c r="FQ72" s="0" t="n">
        <v>29006948</v>
      </c>
    </row>
    <row r="73" customFormat="false" ht="15" hidden="false" customHeight="false" outlineLevel="0" collapsed="false">
      <c r="B73" s="0" t="str">
        <f aca="false">C73&amp;"x"&amp;I73</f>
        <v>61021x100213</v>
      </c>
      <c r="C73" s="0" t="n">
        <f aca="false">IF(G73="SINGLE",H73,G73)</f>
        <v>61021</v>
      </c>
      <c r="D73" s="0" t="e">
        <f aca="false">_xlfn.XLOOKUP(I73,calculations!$t:$t,calculations!$s:$s)</f>
        <v>#VALUE!</v>
      </c>
      <c r="E73" s="0" t="str">
        <f aca="false">_xlfn.XLOOKUP(I73,Mapping!$T:$T,Mapping!$Q:$Q)</f>
        <v>LUME12</v>
      </c>
      <c r="F73" s="1" t="n">
        <v>46203</v>
      </c>
      <c r="G73" s="0" t="n">
        <v>61021</v>
      </c>
      <c r="H73" s="0" t="n">
        <v>61021</v>
      </c>
      <c r="I73" s="0" t="n">
        <v>100213</v>
      </c>
      <c r="J73" s="0" t="s">
        <v>365</v>
      </c>
      <c r="K73" s="0" t="s">
        <v>214</v>
      </c>
      <c r="L73" s="0" t="s">
        <v>214</v>
      </c>
      <c r="M73" s="0" t="s">
        <v>184</v>
      </c>
      <c r="N73" s="0" t="n">
        <v>14083000</v>
      </c>
      <c r="O73" s="0" t="n">
        <v>14083000</v>
      </c>
      <c r="P73" s="0" t="s">
        <v>185</v>
      </c>
      <c r="Q73" s="0" t="s">
        <v>227</v>
      </c>
      <c r="R73" s="0" t="s">
        <v>187</v>
      </c>
      <c r="S73" s="0" t="s">
        <v>366</v>
      </c>
      <c r="T73" s="0" t="s">
        <v>189</v>
      </c>
      <c r="U73" s="0" t="s">
        <v>367</v>
      </c>
      <c r="V73" s="0" t="s">
        <v>368</v>
      </c>
      <c r="W73" s="0" t="s">
        <v>296</v>
      </c>
      <c r="X73" s="0" t="s">
        <v>369</v>
      </c>
      <c r="Y73" s="0" t="n">
        <v>11</v>
      </c>
      <c r="Z73" s="0" t="s">
        <v>185</v>
      </c>
      <c r="AA73" s="0" t="n">
        <v>1</v>
      </c>
      <c r="AB73" s="0" t="s">
        <v>187</v>
      </c>
      <c r="AC73" s="0" t="n">
        <v>14997000</v>
      </c>
      <c r="AD73" s="0" t="n">
        <v>14997000</v>
      </c>
      <c r="AE73" s="0" t="n">
        <v>14997000</v>
      </c>
      <c r="AF73" s="0" t="n">
        <v>0.9391</v>
      </c>
      <c r="AG73" s="0" t="n">
        <v>14083000</v>
      </c>
      <c r="AH73" s="0" t="n">
        <v>14083000</v>
      </c>
      <c r="AI73" s="0" t="n">
        <v>914000</v>
      </c>
      <c r="AJ73" s="0" t="n">
        <v>14997000</v>
      </c>
      <c r="AK73" s="0" t="n">
        <v>14083000</v>
      </c>
      <c r="AL73" s="0" t="n">
        <v>14083000</v>
      </c>
      <c r="AN73" s="0" t="n">
        <v>5.783</v>
      </c>
      <c r="AO73" s="0" t="n">
        <v>4.506</v>
      </c>
      <c r="AP73" s="0" t="n">
        <v>6.195</v>
      </c>
      <c r="AQ73" s="0" t="n">
        <v>100</v>
      </c>
      <c r="AR73" s="0" t="n">
        <v>100</v>
      </c>
      <c r="AS73" s="1" t="n">
        <v>44813</v>
      </c>
      <c r="AT73" s="1" t="n">
        <v>51753</v>
      </c>
      <c r="AU73" s="1" t="n">
        <v>46295</v>
      </c>
      <c r="AV73" s="0" t="s">
        <v>370</v>
      </c>
      <c r="AW73" s="0" t="s">
        <v>327</v>
      </c>
      <c r="AX73" s="0" t="s">
        <v>187</v>
      </c>
      <c r="AY73" s="0" t="s">
        <v>371</v>
      </c>
      <c r="AZ73" s="0" t="s">
        <v>372</v>
      </c>
      <c r="BA73" s="0" t="s">
        <v>368</v>
      </c>
      <c r="BB73" s="0" t="s">
        <v>327</v>
      </c>
      <c r="BC73" s="0" t="s">
        <v>373</v>
      </c>
      <c r="BI73" s="0" t="n">
        <v>14997000</v>
      </c>
      <c r="BJ73" s="0" t="n">
        <v>14997000</v>
      </c>
      <c r="BK73" s="0" t="s">
        <v>253</v>
      </c>
      <c r="BL73" s="0" t="s">
        <v>201</v>
      </c>
      <c r="BN73" s="0" t="n">
        <v>11.4</v>
      </c>
      <c r="BO73" s="0" t="n">
        <v>15.2</v>
      </c>
      <c r="BP73" s="0" t="s">
        <v>187</v>
      </c>
      <c r="BQ73" s="0" t="s">
        <v>187</v>
      </c>
      <c r="BR73" s="0" t="s">
        <v>203</v>
      </c>
      <c r="BS73" s="0" t="s">
        <v>374</v>
      </c>
      <c r="BT73" s="0" t="s">
        <v>216</v>
      </c>
      <c r="BU73" s="0" t="s">
        <v>269</v>
      </c>
      <c r="BW73" s="0" t="s">
        <v>206</v>
      </c>
      <c r="BX73" s="0" t="s">
        <v>217</v>
      </c>
      <c r="BY73" s="0" t="n">
        <v>140</v>
      </c>
      <c r="BZ73" s="0" t="n">
        <v>140</v>
      </c>
      <c r="CC73" s="0" t="s">
        <v>256</v>
      </c>
      <c r="CD73" s="0" t="s">
        <v>256</v>
      </c>
      <c r="CE73" s="0" t="s">
        <v>211</v>
      </c>
      <c r="CF73" s="0" t="s">
        <v>211</v>
      </c>
      <c r="CG73" s="0" t="s">
        <v>211</v>
      </c>
      <c r="CH73" s="1" t="n">
        <v>46112</v>
      </c>
      <c r="CI73" s="0" t="n">
        <v>1.2</v>
      </c>
      <c r="CJ73" s="0" t="n">
        <v>2.93</v>
      </c>
      <c r="CK73" s="0" t="n">
        <v>3.08</v>
      </c>
      <c r="CL73" s="0" t="s">
        <v>212</v>
      </c>
      <c r="DA73" s="0" t="n">
        <v>0.65</v>
      </c>
      <c r="DC73" s="0" t="n">
        <v>0.85</v>
      </c>
      <c r="DD73" s="0" t="s">
        <v>212</v>
      </c>
      <c r="ED73" s="0" t="s">
        <v>212</v>
      </c>
      <c r="EE73" s="0" t="n">
        <v>1.05</v>
      </c>
      <c r="EI73" s="0" t="n">
        <v>1.32</v>
      </c>
      <c r="FQ73" s="0" t="n">
        <v>19292926</v>
      </c>
    </row>
    <row r="74" customFormat="false" ht="15" hidden="false" customHeight="false" outlineLevel="0" collapsed="false">
      <c r="B74" s="0" t="str">
        <f aca="false">C74&amp;"x"&amp;I74</f>
        <v>61021x100214</v>
      </c>
      <c r="C74" s="0" t="n">
        <f aca="false">IF(G74="SINGLE",H74,G74)</f>
        <v>61021</v>
      </c>
      <c r="D74" s="0" t="e">
        <f aca="false">_xlfn.XLOOKUP(I74,calculations!$t:$t,calculations!$s:$s)</f>
        <v>#VALUE!</v>
      </c>
      <c r="E74" s="0" t="str">
        <f aca="false">_xlfn.XLOOKUP(I74,Mapping!$T:$T,Mapping!$Q:$Q)</f>
        <v>LUME12</v>
      </c>
      <c r="F74" s="1" t="n">
        <v>46203</v>
      </c>
      <c r="G74" s="0" t="n">
        <v>61021</v>
      </c>
      <c r="H74" s="0" t="n">
        <v>61021</v>
      </c>
      <c r="I74" s="0" t="n">
        <v>100214</v>
      </c>
      <c r="J74" s="0" t="s">
        <v>375</v>
      </c>
      <c r="K74" s="0" t="s">
        <v>214</v>
      </c>
      <c r="L74" s="0" t="s">
        <v>214</v>
      </c>
      <c r="M74" s="0" t="s">
        <v>184</v>
      </c>
      <c r="N74" s="0" t="n">
        <v>9389000</v>
      </c>
      <c r="O74" s="0" t="n">
        <v>9389000</v>
      </c>
      <c r="P74" s="0" t="s">
        <v>185</v>
      </c>
      <c r="Q74" s="0" t="s">
        <v>227</v>
      </c>
      <c r="R74" s="0" t="s">
        <v>187</v>
      </c>
      <c r="S74" s="0" t="s">
        <v>376</v>
      </c>
      <c r="T74" s="0" t="s">
        <v>189</v>
      </c>
      <c r="U74" s="0" t="s">
        <v>367</v>
      </c>
      <c r="V74" s="0" t="s">
        <v>368</v>
      </c>
      <c r="W74" s="0" t="s">
        <v>296</v>
      </c>
      <c r="X74" s="0" t="s">
        <v>369</v>
      </c>
      <c r="Y74" s="0" t="n">
        <v>11</v>
      </c>
      <c r="Z74" s="0" t="s">
        <v>185</v>
      </c>
      <c r="AA74" s="0" t="n">
        <v>1</v>
      </c>
      <c r="AB74" s="0" t="s">
        <v>187</v>
      </c>
      <c r="AC74" s="0" t="n">
        <v>9998000</v>
      </c>
      <c r="AD74" s="0" t="n">
        <v>9998000</v>
      </c>
      <c r="AE74" s="0" t="n">
        <v>9998000</v>
      </c>
      <c r="AF74" s="0" t="n">
        <v>0.9391</v>
      </c>
      <c r="AG74" s="0" t="n">
        <v>9389000</v>
      </c>
      <c r="AH74" s="0" t="n">
        <v>9389000</v>
      </c>
      <c r="AI74" s="0" t="n">
        <v>609000</v>
      </c>
      <c r="AJ74" s="0" t="n">
        <v>9998000</v>
      </c>
      <c r="AK74" s="0" t="n">
        <v>9389000</v>
      </c>
      <c r="AL74" s="0" t="n">
        <v>9389000</v>
      </c>
      <c r="AN74" s="0" t="n">
        <v>4.458</v>
      </c>
      <c r="AO74" s="0" t="n">
        <v>2.632</v>
      </c>
      <c r="AP74" s="0" t="n">
        <v>4.485</v>
      </c>
      <c r="AQ74" s="0" t="n">
        <v>100</v>
      </c>
      <c r="AR74" s="0" t="n">
        <v>100</v>
      </c>
      <c r="AS74" s="1" t="n">
        <v>44813</v>
      </c>
      <c r="AT74" s="1" t="n">
        <v>51753</v>
      </c>
      <c r="AU74" s="1" t="n">
        <v>46295</v>
      </c>
      <c r="AV74" s="0" t="s">
        <v>370</v>
      </c>
      <c r="AW74" s="0" t="s">
        <v>327</v>
      </c>
      <c r="AX74" s="0" t="s">
        <v>187</v>
      </c>
      <c r="AY74" s="0" t="s">
        <v>371</v>
      </c>
      <c r="AZ74" s="0" t="s">
        <v>372</v>
      </c>
      <c r="BA74" s="0" t="s">
        <v>368</v>
      </c>
      <c r="BB74" s="0" t="s">
        <v>327</v>
      </c>
      <c r="BC74" s="0" t="s">
        <v>373</v>
      </c>
      <c r="BI74" s="0" t="n">
        <v>9998000</v>
      </c>
      <c r="BJ74" s="0" t="n">
        <v>9998000</v>
      </c>
      <c r="BK74" s="0" t="s">
        <v>253</v>
      </c>
      <c r="BL74" s="0" t="s">
        <v>201</v>
      </c>
      <c r="BN74" s="0" t="n">
        <v>11.4</v>
      </c>
      <c r="BO74" s="0" t="n">
        <v>15.2</v>
      </c>
      <c r="BP74" s="0" t="s">
        <v>187</v>
      </c>
      <c r="BQ74" s="0" t="s">
        <v>187</v>
      </c>
      <c r="BR74" s="0" t="s">
        <v>203</v>
      </c>
      <c r="BS74" s="0" t="s">
        <v>377</v>
      </c>
      <c r="BT74" s="0" t="s">
        <v>216</v>
      </c>
      <c r="BU74" s="0" t="s">
        <v>269</v>
      </c>
      <c r="BW74" s="0" t="s">
        <v>257</v>
      </c>
      <c r="BX74" s="0" t="s">
        <v>207</v>
      </c>
      <c r="BY74" s="0" t="n">
        <v>140</v>
      </c>
      <c r="BZ74" s="0" t="n">
        <v>140</v>
      </c>
      <c r="CC74" s="0" t="s">
        <v>256</v>
      </c>
      <c r="CD74" s="0" t="s">
        <v>256</v>
      </c>
      <c r="CE74" s="0" t="s">
        <v>378</v>
      </c>
      <c r="CF74" s="0" t="s">
        <v>211</v>
      </c>
      <c r="CG74" s="0" t="s">
        <v>211</v>
      </c>
      <c r="CH74" s="1" t="n">
        <v>46112</v>
      </c>
      <c r="CI74" s="0" t="n">
        <v>1.2</v>
      </c>
      <c r="CJ74" s="0" t="n">
        <v>3.12</v>
      </c>
      <c r="CK74" s="0" t="n">
        <v>3.28</v>
      </c>
      <c r="CL74" s="0" t="s">
        <v>212</v>
      </c>
      <c r="DA74" s="0" t="n">
        <v>0.85</v>
      </c>
      <c r="DC74" s="0" t="n">
        <v>0.85</v>
      </c>
      <c r="DD74" s="0" t="s">
        <v>213</v>
      </c>
      <c r="ED74" s="0" t="s">
        <v>212</v>
      </c>
      <c r="EE74" s="0" t="n">
        <v>1.05</v>
      </c>
      <c r="EI74" s="0" t="n">
        <v>1.73</v>
      </c>
      <c r="FQ74" s="0" t="n">
        <v>21945402</v>
      </c>
    </row>
    <row r="75" customFormat="false" ht="15" hidden="false" customHeight="false" outlineLevel="0" collapsed="false">
      <c r="B75" s="0" t="str">
        <f aca="false">C75&amp;"x"&amp;I75</f>
        <v>61017x100213</v>
      </c>
      <c r="C75" s="0" t="n">
        <f aca="false">IF(G75="SINGLE",H75,G75)</f>
        <v>61017</v>
      </c>
      <c r="D75" s="0" t="e">
        <f aca="false">_xlfn.XLOOKUP(I75,calculations!$t:$t,calculations!$s:$s)</f>
        <v>#VALUE!</v>
      </c>
      <c r="E75" s="0" t="str">
        <f aca="false">_xlfn.XLOOKUP(I75,Mapping!$T:$T,Mapping!$Q:$Q)</f>
        <v>LUME12</v>
      </c>
      <c r="F75" s="1" t="n">
        <v>46203</v>
      </c>
      <c r="G75" s="0" t="n">
        <v>61017</v>
      </c>
      <c r="H75" s="0" t="n">
        <v>61017</v>
      </c>
      <c r="I75" s="0" t="n">
        <v>100213</v>
      </c>
      <c r="J75" s="0" t="s">
        <v>365</v>
      </c>
      <c r="K75" s="0" t="s">
        <v>274</v>
      </c>
      <c r="L75" s="0" t="s">
        <v>274</v>
      </c>
      <c r="M75" s="0" t="s">
        <v>184</v>
      </c>
      <c r="N75" s="0" t="n">
        <v>10929000</v>
      </c>
      <c r="O75" s="0" t="n">
        <v>10929000</v>
      </c>
      <c r="P75" s="0" t="s">
        <v>185</v>
      </c>
      <c r="Q75" s="0" t="s">
        <v>227</v>
      </c>
      <c r="R75" s="0" t="s">
        <v>187</v>
      </c>
      <c r="S75" s="0" t="s">
        <v>366</v>
      </c>
      <c r="T75" s="0" t="s">
        <v>189</v>
      </c>
      <c r="U75" s="0" t="s">
        <v>367</v>
      </c>
      <c r="V75" s="0" t="s">
        <v>368</v>
      </c>
      <c r="W75" s="0" t="s">
        <v>296</v>
      </c>
      <c r="X75" s="0" t="s">
        <v>369</v>
      </c>
      <c r="Y75" s="0" t="n">
        <v>11</v>
      </c>
      <c r="Z75" s="0" t="s">
        <v>185</v>
      </c>
      <c r="AA75" s="0" t="n">
        <v>1</v>
      </c>
      <c r="AB75" s="0" t="s">
        <v>187</v>
      </c>
      <c r="AC75" s="0" t="n">
        <v>11638000</v>
      </c>
      <c r="AD75" s="0" t="n">
        <v>11638000</v>
      </c>
      <c r="AE75" s="0" t="n">
        <v>11638000</v>
      </c>
      <c r="AF75" s="0" t="n">
        <v>0.9391</v>
      </c>
      <c r="AG75" s="0" t="n">
        <v>10929000</v>
      </c>
      <c r="AH75" s="0" t="n">
        <v>10929000</v>
      </c>
      <c r="AI75" s="0" t="n">
        <v>709000</v>
      </c>
      <c r="AJ75" s="0" t="n">
        <v>11638000</v>
      </c>
      <c r="AK75" s="0" t="n">
        <v>10929000</v>
      </c>
      <c r="AL75" s="0" t="n">
        <v>10929000</v>
      </c>
      <c r="AN75" s="0" t="n">
        <v>4.247</v>
      </c>
      <c r="AO75" s="0" t="n">
        <v>6.213</v>
      </c>
      <c r="AP75" s="0" t="n">
        <v>2.677</v>
      </c>
      <c r="AQ75" s="0" t="n">
        <v>100</v>
      </c>
      <c r="AR75" s="0" t="n">
        <v>100</v>
      </c>
      <c r="AS75" s="1" t="n">
        <v>44813</v>
      </c>
      <c r="AT75" s="1" t="n">
        <v>51753</v>
      </c>
      <c r="AU75" s="1" t="n">
        <v>46295</v>
      </c>
      <c r="AV75" s="0" t="s">
        <v>370</v>
      </c>
      <c r="AW75" s="0" t="s">
        <v>327</v>
      </c>
      <c r="AX75" s="0" t="s">
        <v>187</v>
      </c>
      <c r="AY75" s="0" t="s">
        <v>371</v>
      </c>
      <c r="AZ75" s="0" t="s">
        <v>372</v>
      </c>
      <c r="BA75" s="0" t="s">
        <v>368</v>
      </c>
      <c r="BB75" s="0" t="s">
        <v>327</v>
      </c>
      <c r="BC75" s="0" t="s">
        <v>373</v>
      </c>
      <c r="BI75" s="0" t="n">
        <v>11638000</v>
      </c>
      <c r="BJ75" s="0" t="n">
        <v>11638000</v>
      </c>
      <c r="BK75" s="0" t="s">
        <v>253</v>
      </c>
      <c r="BL75" s="0" t="s">
        <v>201</v>
      </c>
      <c r="BN75" s="0" t="n">
        <v>11.4</v>
      </c>
      <c r="BO75" s="0" t="n">
        <v>15.2</v>
      </c>
      <c r="BP75" s="0" t="s">
        <v>187</v>
      </c>
      <c r="BQ75" s="0" t="s">
        <v>187</v>
      </c>
      <c r="BR75" s="0" t="s">
        <v>203</v>
      </c>
      <c r="BS75" s="0" t="s">
        <v>374</v>
      </c>
      <c r="BT75" s="0" t="s">
        <v>216</v>
      </c>
      <c r="BU75" s="0" t="s">
        <v>205</v>
      </c>
      <c r="BW75" s="0" t="s">
        <v>206</v>
      </c>
      <c r="BX75" s="0" t="s">
        <v>207</v>
      </c>
      <c r="BY75" s="0" t="n">
        <v>140</v>
      </c>
      <c r="BZ75" s="0" t="n">
        <v>140</v>
      </c>
      <c r="CC75" s="0" t="s">
        <v>256</v>
      </c>
      <c r="CD75" s="0" t="s">
        <v>256</v>
      </c>
      <c r="CE75" s="0" t="s">
        <v>211</v>
      </c>
      <c r="CF75" s="0" t="s">
        <v>211</v>
      </c>
      <c r="CG75" s="0" t="s">
        <v>211</v>
      </c>
      <c r="CH75" s="1" t="n">
        <v>46112</v>
      </c>
      <c r="CI75" s="0" t="n">
        <v>1.2</v>
      </c>
      <c r="CJ75" s="0" t="n">
        <v>2.86</v>
      </c>
      <c r="CK75" s="0" t="n">
        <v>3</v>
      </c>
      <c r="CL75" s="0" t="s">
        <v>212</v>
      </c>
      <c r="DA75" s="0" t="n">
        <v>0.79</v>
      </c>
      <c r="DC75" s="0" t="n">
        <v>0.85</v>
      </c>
      <c r="DD75" s="0" t="s">
        <v>212</v>
      </c>
      <c r="ED75" s="0" t="s">
        <v>212</v>
      </c>
      <c r="EE75" s="0" t="n">
        <v>1.05</v>
      </c>
      <c r="EI75" s="0" t="n">
        <v>1.57</v>
      </c>
      <c r="FQ75" s="0" t="n">
        <v>33210385</v>
      </c>
    </row>
    <row r="76" customFormat="false" ht="15" hidden="false" customHeight="false" outlineLevel="0" collapsed="false">
      <c r="B76" s="0" t="str">
        <f aca="false">C76&amp;"x"&amp;I76</f>
        <v>61017x100214</v>
      </c>
      <c r="C76" s="0" t="n">
        <f aca="false">IF(G76="SINGLE",H76,G76)</f>
        <v>61017</v>
      </c>
      <c r="D76" s="0" t="e">
        <f aca="false">_xlfn.XLOOKUP(I76,calculations!$t:$t,calculations!$s:$s)</f>
        <v>#VALUE!</v>
      </c>
      <c r="E76" s="0" t="str">
        <f aca="false">_xlfn.XLOOKUP(I76,Mapping!$T:$T,Mapping!$Q:$Q)</f>
        <v>LUME12</v>
      </c>
      <c r="F76" s="1" t="n">
        <v>46203</v>
      </c>
      <c r="G76" s="0" t="n">
        <v>61017</v>
      </c>
      <c r="H76" s="0" t="n">
        <v>61017</v>
      </c>
      <c r="I76" s="0" t="n">
        <v>100214</v>
      </c>
      <c r="J76" s="0" t="s">
        <v>375</v>
      </c>
      <c r="K76" s="0" t="s">
        <v>274</v>
      </c>
      <c r="L76" s="0" t="s">
        <v>274</v>
      </c>
      <c r="M76" s="0" t="s">
        <v>184</v>
      </c>
      <c r="N76" s="0" t="n">
        <v>7286000</v>
      </c>
      <c r="O76" s="0" t="n">
        <v>7286000</v>
      </c>
      <c r="P76" s="0" t="s">
        <v>185</v>
      </c>
      <c r="Q76" s="0" t="s">
        <v>227</v>
      </c>
      <c r="R76" s="0" t="s">
        <v>187</v>
      </c>
      <c r="S76" s="0" t="s">
        <v>376</v>
      </c>
      <c r="T76" s="0" t="s">
        <v>189</v>
      </c>
      <c r="U76" s="0" t="s">
        <v>367</v>
      </c>
      <c r="V76" s="0" t="s">
        <v>368</v>
      </c>
      <c r="W76" s="0" t="s">
        <v>296</v>
      </c>
      <c r="X76" s="0" t="s">
        <v>369</v>
      </c>
      <c r="Y76" s="0" t="n">
        <v>11</v>
      </c>
      <c r="Z76" s="0" t="s">
        <v>185</v>
      </c>
      <c r="AA76" s="0" t="n">
        <v>1</v>
      </c>
      <c r="AB76" s="0" t="s">
        <v>187</v>
      </c>
      <c r="AC76" s="0" t="n">
        <v>7759000</v>
      </c>
      <c r="AD76" s="0" t="n">
        <v>7759000</v>
      </c>
      <c r="AE76" s="0" t="n">
        <v>7759000</v>
      </c>
      <c r="AF76" s="0" t="n">
        <v>0.939</v>
      </c>
      <c r="AG76" s="0" t="n">
        <v>7286000</v>
      </c>
      <c r="AH76" s="0" t="n">
        <v>7286000</v>
      </c>
      <c r="AI76" s="0" t="n">
        <v>473000</v>
      </c>
      <c r="AJ76" s="0" t="n">
        <v>7759000</v>
      </c>
      <c r="AK76" s="0" t="n">
        <v>7286000</v>
      </c>
      <c r="AL76" s="0" t="n">
        <v>7286000</v>
      </c>
      <c r="AN76" s="0" t="n">
        <v>4.968</v>
      </c>
      <c r="AO76" s="0" t="n">
        <v>5.131</v>
      </c>
      <c r="AP76" s="0" t="n">
        <v>3.099</v>
      </c>
      <c r="AQ76" s="0" t="n">
        <v>100</v>
      </c>
      <c r="AR76" s="0" t="n">
        <v>100</v>
      </c>
      <c r="AS76" s="1" t="n">
        <v>44813</v>
      </c>
      <c r="AT76" s="1" t="n">
        <v>51753</v>
      </c>
      <c r="AU76" s="1" t="n">
        <v>46295</v>
      </c>
      <c r="AV76" s="0" t="s">
        <v>370</v>
      </c>
      <c r="AW76" s="0" t="s">
        <v>327</v>
      </c>
      <c r="AX76" s="0" t="s">
        <v>187</v>
      </c>
      <c r="AY76" s="0" t="s">
        <v>371</v>
      </c>
      <c r="AZ76" s="0" t="s">
        <v>372</v>
      </c>
      <c r="BA76" s="0" t="s">
        <v>368</v>
      </c>
      <c r="BB76" s="0" t="s">
        <v>327</v>
      </c>
      <c r="BC76" s="0" t="s">
        <v>373</v>
      </c>
      <c r="BI76" s="0" t="n">
        <v>7759000</v>
      </c>
      <c r="BJ76" s="0" t="n">
        <v>7759000</v>
      </c>
      <c r="BK76" s="0" t="s">
        <v>253</v>
      </c>
      <c r="BL76" s="0" t="s">
        <v>201</v>
      </c>
      <c r="BN76" s="0" t="n">
        <v>11.4</v>
      </c>
      <c r="BO76" s="0" t="n">
        <v>15.2</v>
      </c>
      <c r="BP76" s="0" t="s">
        <v>187</v>
      </c>
      <c r="BQ76" s="0" t="s">
        <v>187</v>
      </c>
      <c r="BR76" s="0" t="s">
        <v>203</v>
      </c>
      <c r="BS76" s="0" t="s">
        <v>377</v>
      </c>
      <c r="BT76" s="0" t="s">
        <v>216</v>
      </c>
      <c r="BU76" s="0" t="s">
        <v>255</v>
      </c>
      <c r="BW76" s="0" t="s">
        <v>257</v>
      </c>
      <c r="BX76" s="0" t="s">
        <v>217</v>
      </c>
      <c r="BY76" s="0" t="n">
        <v>140</v>
      </c>
      <c r="BZ76" s="0" t="n">
        <v>140</v>
      </c>
      <c r="CC76" s="0" t="s">
        <v>256</v>
      </c>
      <c r="CD76" s="0" t="s">
        <v>256</v>
      </c>
      <c r="CE76" s="0" t="s">
        <v>211</v>
      </c>
      <c r="CF76" s="0" t="s">
        <v>211</v>
      </c>
      <c r="CG76" s="0" t="s">
        <v>211</v>
      </c>
      <c r="CH76" s="1" t="n">
        <v>46112</v>
      </c>
      <c r="CI76" s="0" t="n">
        <v>1.2</v>
      </c>
      <c r="CJ76" s="0" t="n">
        <v>2.12</v>
      </c>
      <c r="CK76" s="0" t="n">
        <v>2.23</v>
      </c>
      <c r="CL76" s="0" t="s">
        <v>212</v>
      </c>
      <c r="DA76" s="0" t="n">
        <v>0.62</v>
      </c>
      <c r="DC76" s="0" t="n">
        <v>0.85</v>
      </c>
      <c r="DD76" s="0" t="s">
        <v>212</v>
      </c>
      <c r="ED76" s="0" t="s">
        <v>212</v>
      </c>
      <c r="EE76" s="0" t="n">
        <v>1.05</v>
      </c>
      <c r="EI76" s="0" t="n">
        <v>1.53</v>
      </c>
      <c r="FQ76" s="0" t="n">
        <v>23995624</v>
      </c>
    </row>
    <row r="77" customFormat="false" ht="15" hidden="false" customHeight="false" outlineLevel="0" collapsed="false">
      <c r="B77" s="0" t="str">
        <f aca="false">C77&amp;"x"&amp;I77</f>
        <v>61019x100213</v>
      </c>
      <c r="C77" s="0" t="n">
        <f aca="false">IF(G77="SINGLE",H77,G77)</f>
        <v>61019</v>
      </c>
      <c r="D77" s="0" t="e">
        <f aca="false">_xlfn.XLOOKUP(I77,calculations!$t:$t,calculations!$s:$s)</f>
        <v>#VALUE!</v>
      </c>
      <c r="E77" s="0" t="str">
        <f aca="false">_xlfn.XLOOKUP(I77,Mapping!$T:$T,Mapping!$Q:$Q)</f>
        <v>LUME12</v>
      </c>
      <c r="F77" s="1" t="n">
        <v>46203</v>
      </c>
      <c r="G77" s="0" t="n">
        <v>61019</v>
      </c>
      <c r="H77" s="0" t="n">
        <v>61019</v>
      </c>
      <c r="I77" s="0" t="n">
        <v>100213</v>
      </c>
      <c r="J77" s="0" t="s">
        <v>365</v>
      </c>
      <c r="K77" s="0" t="s">
        <v>223</v>
      </c>
      <c r="L77" s="0" t="s">
        <v>223</v>
      </c>
      <c r="M77" s="0" t="s">
        <v>184</v>
      </c>
      <c r="N77" s="0" t="n">
        <v>9851000</v>
      </c>
      <c r="O77" s="0" t="n">
        <v>9851000</v>
      </c>
      <c r="P77" s="0" t="s">
        <v>185</v>
      </c>
      <c r="Q77" s="0" t="s">
        <v>227</v>
      </c>
      <c r="R77" s="0" t="s">
        <v>187</v>
      </c>
      <c r="S77" s="0" t="s">
        <v>366</v>
      </c>
      <c r="T77" s="0" t="s">
        <v>189</v>
      </c>
      <c r="U77" s="0" t="s">
        <v>367</v>
      </c>
      <c r="V77" s="0" t="s">
        <v>368</v>
      </c>
      <c r="W77" s="0" t="s">
        <v>296</v>
      </c>
      <c r="X77" s="0" t="s">
        <v>369</v>
      </c>
      <c r="Y77" s="0" t="n">
        <v>11</v>
      </c>
      <c r="Z77" s="0" t="s">
        <v>185</v>
      </c>
      <c r="AA77" s="0" t="n">
        <v>1</v>
      </c>
      <c r="AB77" s="0" t="s">
        <v>187</v>
      </c>
      <c r="AC77" s="0" t="n">
        <v>10490000</v>
      </c>
      <c r="AD77" s="0" t="n">
        <v>10490000</v>
      </c>
      <c r="AE77" s="0" t="n">
        <v>10490000</v>
      </c>
      <c r="AF77" s="0" t="n">
        <v>0.9391</v>
      </c>
      <c r="AG77" s="0" t="n">
        <v>9851000</v>
      </c>
      <c r="AH77" s="0" t="n">
        <v>9851000</v>
      </c>
      <c r="AI77" s="0" t="n">
        <v>639000</v>
      </c>
      <c r="AJ77" s="0" t="n">
        <v>10490000</v>
      </c>
      <c r="AK77" s="0" t="n">
        <v>9851000</v>
      </c>
      <c r="AL77" s="0" t="n">
        <v>9851000</v>
      </c>
      <c r="AN77" s="0" t="n">
        <v>6.432</v>
      </c>
      <c r="AO77" s="0" t="n">
        <v>6.166</v>
      </c>
      <c r="AP77" s="0" t="n">
        <v>4.886</v>
      </c>
      <c r="AQ77" s="0" t="n">
        <v>100</v>
      </c>
      <c r="AR77" s="0" t="n">
        <v>100</v>
      </c>
      <c r="AS77" s="1" t="n">
        <v>44813</v>
      </c>
      <c r="AT77" s="1" t="n">
        <v>51753</v>
      </c>
      <c r="AU77" s="1" t="n">
        <v>46295</v>
      </c>
      <c r="AV77" s="0" t="s">
        <v>370</v>
      </c>
      <c r="AW77" s="0" t="s">
        <v>327</v>
      </c>
      <c r="AX77" s="0" t="s">
        <v>187</v>
      </c>
      <c r="AY77" s="0" t="s">
        <v>371</v>
      </c>
      <c r="AZ77" s="0" t="s">
        <v>372</v>
      </c>
      <c r="BA77" s="0" t="s">
        <v>368</v>
      </c>
      <c r="BB77" s="0" t="s">
        <v>327</v>
      </c>
      <c r="BC77" s="0" t="s">
        <v>373</v>
      </c>
      <c r="BI77" s="0" t="n">
        <v>10490000</v>
      </c>
      <c r="BJ77" s="0" t="n">
        <v>10490000</v>
      </c>
      <c r="BK77" s="0" t="s">
        <v>253</v>
      </c>
      <c r="BL77" s="0" t="s">
        <v>201</v>
      </c>
      <c r="BN77" s="0" t="n">
        <v>11.4</v>
      </c>
      <c r="BO77" s="0" t="n">
        <v>15.2</v>
      </c>
      <c r="BP77" s="0" t="s">
        <v>187</v>
      </c>
      <c r="BQ77" s="0" t="s">
        <v>187</v>
      </c>
      <c r="BR77" s="0" t="s">
        <v>203</v>
      </c>
      <c r="BS77" s="0" t="s">
        <v>374</v>
      </c>
      <c r="BT77" s="0" t="s">
        <v>216</v>
      </c>
      <c r="BU77" s="0" t="s">
        <v>220</v>
      </c>
      <c r="BW77" s="0" t="s">
        <v>257</v>
      </c>
      <c r="BX77" s="0" t="s">
        <v>217</v>
      </c>
      <c r="BY77" s="0" t="n">
        <v>140</v>
      </c>
      <c r="BZ77" s="0" t="n">
        <v>140</v>
      </c>
      <c r="CC77" s="0" t="s">
        <v>256</v>
      </c>
      <c r="CD77" s="0" t="s">
        <v>256</v>
      </c>
      <c r="CE77" s="0" t="s">
        <v>211</v>
      </c>
      <c r="CF77" s="0" t="s">
        <v>211</v>
      </c>
      <c r="CG77" s="0" t="s">
        <v>211</v>
      </c>
      <c r="CH77" s="1" t="n">
        <v>46112</v>
      </c>
      <c r="CI77" s="0" t="n">
        <v>1.2</v>
      </c>
      <c r="CJ77" s="0" t="n">
        <v>1.48</v>
      </c>
      <c r="CK77" s="0" t="n">
        <v>1.55</v>
      </c>
      <c r="CL77" s="0" t="s">
        <v>212</v>
      </c>
      <c r="DA77" s="0" t="n">
        <v>0.81</v>
      </c>
      <c r="DC77" s="0" t="n">
        <v>0.85</v>
      </c>
      <c r="DD77" s="0" t="s">
        <v>213</v>
      </c>
      <c r="ED77" s="0" t="s">
        <v>212</v>
      </c>
      <c r="EE77" s="0" t="n">
        <v>1.05</v>
      </c>
      <c r="EI77" s="0" t="n">
        <v>1.65</v>
      </c>
      <c r="FQ77" s="0" t="n">
        <v>23276432</v>
      </c>
    </row>
    <row r="78" customFormat="false" ht="15" hidden="false" customHeight="false" outlineLevel="0" collapsed="false">
      <c r="B78" s="0" t="str">
        <f aca="false">C78&amp;"x"&amp;I78</f>
        <v>61019x100214</v>
      </c>
      <c r="C78" s="0" t="n">
        <f aca="false">IF(G78="SINGLE",H78,G78)</f>
        <v>61019</v>
      </c>
      <c r="D78" s="0" t="e">
        <f aca="false">_xlfn.XLOOKUP(I78,calculations!$t:$t,calculations!$s:$s)</f>
        <v>#VALUE!</v>
      </c>
      <c r="E78" s="0" t="str">
        <f aca="false">_xlfn.XLOOKUP(I78,Mapping!$T:$T,Mapping!$Q:$Q)</f>
        <v>LUME12</v>
      </c>
      <c r="F78" s="1" t="n">
        <v>46203</v>
      </c>
      <c r="G78" s="0" t="n">
        <v>61019</v>
      </c>
      <c r="H78" s="0" t="n">
        <v>61019</v>
      </c>
      <c r="I78" s="0" t="n">
        <v>100214</v>
      </c>
      <c r="J78" s="0" t="s">
        <v>375</v>
      </c>
      <c r="K78" s="0" t="s">
        <v>223</v>
      </c>
      <c r="L78" s="0" t="s">
        <v>223</v>
      </c>
      <c r="M78" s="0" t="s">
        <v>184</v>
      </c>
      <c r="N78" s="0" t="n">
        <v>6567000</v>
      </c>
      <c r="O78" s="0" t="n">
        <v>6567000</v>
      </c>
      <c r="P78" s="0" t="s">
        <v>185</v>
      </c>
      <c r="Q78" s="0" t="s">
        <v>227</v>
      </c>
      <c r="R78" s="0" t="s">
        <v>187</v>
      </c>
      <c r="S78" s="0" t="s">
        <v>376</v>
      </c>
      <c r="T78" s="0" t="s">
        <v>189</v>
      </c>
      <c r="U78" s="0" t="s">
        <v>367</v>
      </c>
      <c r="V78" s="0" t="s">
        <v>368</v>
      </c>
      <c r="W78" s="0" t="s">
        <v>296</v>
      </c>
      <c r="X78" s="0" t="s">
        <v>369</v>
      </c>
      <c r="Y78" s="0" t="n">
        <v>11</v>
      </c>
      <c r="Z78" s="0" t="s">
        <v>185</v>
      </c>
      <c r="AA78" s="0" t="n">
        <v>1</v>
      </c>
      <c r="AB78" s="0" t="s">
        <v>187</v>
      </c>
      <c r="AC78" s="0" t="n">
        <v>6993000</v>
      </c>
      <c r="AD78" s="0" t="n">
        <v>6993000</v>
      </c>
      <c r="AE78" s="0" t="n">
        <v>6993000</v>
      </c>
      <c r="AF78" s="0" t="n">
        <v>0.9391</v>
      </c>
      <c r="AG78" s="0" t="n">
        <v>6567000</v>
      </c>
      <c r="AH78" s="0" t="n">
        <v>6567000</v>
      </c>
      <c r="AI78" s="0" t="n">
        <v>426000</v>
      </c>
      <c r="AJ78" s="0" t="n">
        <v>6993000</v>
      </c>
      <c r="AK78" s="0" t="n">
        <v>6567000</v>
      </c>
      <c r="AL78" s="0" t="n">
        <v>6567000</v>
      </c>
      <c r="AN78" s="0" t="n">
        <v>4.696</v>
      </c>
      <c r="AO78" s="0" t="n">
        <v>6.254</v>
      </c>
      <c r="AP78" s="0" t="n">
        <v>2.987</v>
      </c>
      <c r="AQ78" s="0" t="n">
        <v>100</v>
      </c>
      <c r="AR78" s="0" t="n">
        <v>100</v>
      </c>
      <c r="AS78" s="1" t="n">
        <v>44813</v>
      </c>
      <c r="AT78" s="1" t="n">
        <v>51753</v>
      </c>
      <c r="AU78" s="1" t="n">
        <v>46295</v>
      </c>
      <c r="AV78" s="0" t="s">
        <v>370</v>
      </c>
      <c r="AW78" s="0" t="s">
        <v>327</v>
      </c>
      <c r="AX78" s="0" t="s">
        <v>187</v>
      </c>
      <c r="AY78" s="0" t="s">
        <v>371</v>
      </c>
      <c r="AZ78" s="0" t="s">
        <v>372</v>
      </c>
      <c r="BA78" s="0" t="s">
        <v>368</v>
      </c>
      <c r="BB78" s="0" t="s">
        <v>327</v>
      </c>
      <c r="BC78" s="0" t="s">
        <v>373</v>
      </c>
      <c r="BI78" s="0" t="n">
        <v>6993000</v>
      </c>
      <c r="BJ78" s="0" t="n">
        <v>6993000</v>
      </c>
      <c r="BK78" s="0" t="s">
        <v>253</v>
      </c>
      <c r="BL78" s="0" t="s">
        <v>201</v>
      </c>
      <c r="BN78" s="0" t="n">
        <v>11.4</v>
      </c>
      <c r="BO78" s="0" t="n">
        <v>15.2</v>
      </c>
      <c r="BP78" s="0" t="s">
        <v>187</v>
      </c>
      <c r="BQ78" s="0" t="s">
        <v>187</v>
      </c>
      <c r="BR78" s="0" t="s">
        <v>203</v>
      </c>
      <c r="BS78" s="0" t="s">
        <v>377</v>
      </c>
      <c r="BT78" s="0" t="s">
        <v>216</v>
      </c>
      <c r="BU78" s="0" t="s">
        <v>269</v>
      </c>
      <c r="BW78" s="0" t="s">
        <v>206</v>
      </c>
      <c r="BX78" s="0" t="s">
        <v>217</v>
      </c>
      <c r="BY78" s="0" t="n">
        <v>140</v>
      </c>
      <c r="BZ78" s="0" t="n">
        <v>140</v>
      </c>
      <c r="CC78" s="0" t="s">
        <v>256</v>
      </c>
      <c r="CD78" s="0" t="s">
        <v>256</v>
      </c>
      <c r="CE78" s="0" t="s">
        <v>211</v>
      </c>
      <c r="CF78" s="0" t="s">
        <v>211</v>
      </c>
      <c r="CG78" s="0" t="s">
        <v>211</v>
      </c>
      <c r="CH78" s="1" t="n">
        <v>46112</v>
      </c>
      <c r="CI78" s="0" t="n">
        <v>1.2</v>
      </c>
      <c r="CJ78" s="0" t="n">
        <v>2.01</v>
      </c>
      <c r="CK78" s="0" t="n">
        <v>2.11</v>
      </c>
      <c r="CL78" s="0" t="s">
        <v>212</v>
      </c>
      <c r="DA78" s="0" t="n">
        <v>0.61</v>
      </c>
      <c r="DC78" s="0" t="n">
        <v>0.85</v>
      </c>
      <c r="DD78" s="0" t="s">
        <v>212</v>
      </c>
      <c r="ED78" s="0" t="s">
        <v>212</v>
      </c>
      <c r="EE78" s="0" t="n">
        <v>1.05</v>
      </c>
      <c r="EI78" s="0" t="n">
        <v>1.23</v>
      </c>
      <c r="FQ78" s="0" t="n">
        <v>25270519</v>
      </c>
    </row>
    <row r="79" customFormat="false" ht="15" hidden="false" customHeight="false" outlineLevel="0" collapsed="false">
      <c r="B79" s="0" t="str">
        <f aca="false">C79&amp;"x"&amp;I79</f>
        <v>61012x100213</v>
      </c>
      <c r="C79" s="0" t="n">
        <f aca="false">IF(G79="SINGLE",H79,G79)</f>
        <v>61012</v>
      </c>
      <c r="D79" s="0" t="e">
        <f aca="false">_xlfn.XLOOKUP(I79,calculations!$t:$t,calculations!$s:$s)</f>
        <v>#VALUE!</v>
      </c>
      <c r="E79" s="0" t="str">
        <f aca="false">_xlfn.XLOOKUP(I79,Mapping!$T:$T,Mapping!$Q:$Q)</f>
        <v>LUME12</v>
      </c>
      <c r="F79" s="1" t="n">
        <v>46203</v>
      </c>
      <c r="G79" s="0" t="n">
        <v>61012</v>
      </c>
      <c r="H79" s="0" t="n">
        <v>61012</v>
      </c>
      <c r="I79" s="0" t="n">
        <v>100213</v>
      </c>
      <c r="J79" s="0" t="s">
        <v>365</v>
      </c>
      <c r="K79" s="0" t="s">
        <v>332</v>
      </c>
      <c r="L79" s="0" t="s">
        <v>332</v>
      </c>
      <c r="M79" s="0" t="s">
        <v>184</v>
      </c>
      <c r="N79" s="0" t="n">
        <v>11734000</v>
      </c>
      <c r="O79" s="0" t="n">
        <v>11734000</v>
      </c>
      <c r="P79" s="0" t="s">
        <v>219</v>
      </c>
      <c r="Q79" s="0" t="s">
        <v>227</v>
      </c>
      <c r="R79" s="0" t="s">
        <v>187</v>
      </c>
      <c r="S79" s="0" t="s">
        <v>366</v>
      </c>
      <c r="T79" s="0" t="s">
        <v>189</v>
      </c>
      <c r="U79" s="0" t="s">
        <v>367</v>
      </c>
      <c r="V79" s="0" t="s">
        <v>368</v>
      </c>
      <c r="W79" s="0" t="s">
        <v>296</v>
      </c>
      <c r="X79" s="0" t="s">
        <v>369</v>
      </c>
      <c r="Y79" s="0" t="n">
        <v>11</v>
      </c>
      <c r="Z79" s="0" t="s">
        <v>185</v>
      </c>
      <c r="AA79" s="0" t="n">
        <v>1</v>
      </c>
      <c r="AB79" s="0" t="s">
        <v>187</v>
      </c>
      <c r="AC79" s="0" t="n">
        <v>12496000</v>
      </c>
      <c r="AD79" s="0" t="n">
        <v>12496000</v>
      </c>
      <c r="AE79" s="0" t="n">
        <v>12496000</v>
      </c>
      <c r="AF79" s="0" t="n">
        <v>0.939</v>
      </c>
      <c r="AG79" s="0" t="n">
        <v>11734000</v>
      </c>
      <c r="AH79" s="0" t="n">
        <v>11734000</v>
      </c>
      <c r="AI79" s="0" t="n">
        <v>762000</v>
      </c>
      <c r="AJ79" s="0" t="n">
        <v>12496000</v>
      </c>
      <c r="AK79" s="0" t="n">
        <v>11734000</v>
      </c>
      <c r="AL79" s="0" t="n">
        <v>11734000</v>
      </c>
      <c r="AN79" s="0" t="n">
        <v>3.93</v>
      </c>
      <c r="AO79" s="0" t="n">
        <v>3.14</v>
      </c>
      <c r="AP79" s="0" t="n">
        <v>4.847</v>
      </c>
      <c r="AQ79" s="0" t="n">
        <v>100</v>
      </c>
      <c r="AR79" s="0" t="n">
        <v>100</v>
      </c>
      <c r="AS79" s="1" t="n">
        <v>44813</v>
      </c>
      <c r="AT79" s="1" t="n">
        <v>51753</v>
      </c>
      <c r="AU79" s="1" t="n">
        <v>46295</v>
      </c>
      <c r="AV79" s="0" t="s">
        <v>370</v>
      </c>
      <c r="AW79" s="0" t="s">
        <v>327</v>
      </c>
      <c r="AX79" s="0" t="s">
        <v>187</v>
      </c>
      <c r="AY79" s="0" t="s">
        <v>371</v>
      </c>
      <c r="AZ79" s="0" t="s">
        <v>372</v>
      </c>
      <c r="BA79" s="0" t="s">
        <v>368</v>
      </c>
      <c r="BB79" s="0" t="s">
        <v>327</v>
      </c>
      <c r="BC79" s="0" t="s">
        <v>373</v>
      </c>
      <c r="BI79" s="0" t="n">
        <v>12496000</v>
      </c>
      <c r="BJ79" s="0" t="n">
        <v>12496000</v>
      </c>
      <c r="BK79" s="0" t="s">
        <v>253</v>
      </c>
      <c r="BL79" s="0" t="s">
        <v>201</v>
      </c>
      <c r="BN79" s="0" t="n">
        <v>11.4</v>
      </c>
      <c r="BO79" s="0" t="n">
        <v>15.2</v>
      </c>
      <c r="BP79" s="0" t="s">
        <v>187</v>
      </c>
      <c r="BQ79" s="0" t="s">
        <v>187</v>
      </c>
      <c r="BR79" s="0" t="s">
        <v>203</v>
      </c>
      <c r="BS79" s="0" t="s">
        <v>374</v>
      </c>
      <c r="BT79" s="0" t="s">
        <v>216</v>
      </c>
      <c r="BU79" s="0" t="s">
        <v>269</v>
      </c>
      <c r="BW79" s="0" t="s">
        <v>206</v>
      </c>
      <c r="BX79" s="0" t="s">
        <v>207</v>
      </c>
      <c r="BY79" s="0" t="n">
        <v>140</v>
      </c>
      <c r="BZ79" s="0" t="n">
        <v>140</v>
      </c>
      <c r="CC79" s="0" t="s">
        <v>256</v>
      </c>
      <c r="CD79" s="0" t="s">
        <v>256</v>
      </c>
      <c r="CE79" s="0" t="s">
        <v>211</v>
      </c>
      <c r="CF79" s="0" t="s">
        <v>211</v>
      </c>
      <c r="CG79" s="0" t="s">
        <v>211</v>
      </c>
      <c r="CH79" s="1" t="n">
        <v>46112</v>
      </c>
      <c r="CI79" s="0" t="n">
        <v>1.2</v>
      </c>
      <c r="CJ79" s="0" t="n">
        <v>2.49</v>
      </c>
      <c r="CK79" s="0" t="n">
        <v>2.61</v>
      </c>
      <c r="CL79" s="0" t="s">
        <v>212</v>
      </c>
      <c r="DA79" s="0" t="n">
        <v>0.52</v>
      </c>
      <c r="DC79" s="0" t="n">
        <v>0.85</v>
      </c>
      <c r="DD79" s="0" t="s">
        <v>212</v>
      </c>
      <c r="ED79" s="0" t="s">
        <v>212</v>
      </c>
      <c r="EE79" s="0" t="n">
        <v>1.05</v>
      </c>
      <c r="EI79" s="0" t="n">
        <v>1.63</v>
      </c>
      <c r="FQ79" s="0" t="n">
        <v>25090287</v>
      </c>
    </row>
    <row r="80" customFormat="false" ht="15" hidden="false" customHeight="false" outlineLevel="0" collapsed="false">
      <c r="B80" s="0" t="str">
        <f aca="false">C80&amp;"x"&amp;I80</f>
        <v>61012x100214</v>
      </c>
      <c r="C80" s="0" t="n">
        <f aca="false">IF(G80="SINGLE",H80,G80)</f>
        <v>61012</v>
      </c>
      <c r="D80" s="0" t="e">
        <f aca="false">_xlfn.XLOOKUP(I80,calculations!$t:$t,calculations!$s:$s)</f>
        <v>#VALUE!</v>
      </c>
      <c r="E80" s="0" t="str">
        <f aca="false">_xlfn.XLOOKUP(I80,Mapping!$T:$T,Mapping!$Q:$Q)</f>
        <v>LUME12</v>
      </c>
      <c r="F80" s="1" t="n">
        <v>46203</v>
      </c>
      <c r="G80" s="0" t="n">
        <v>61012</v>
      </c>
      <c r="H80" s="0" t="n">
        <v>61012</v>
      </c>
      <c r="I80" s="0" t="n">
        <v>100214</v>
      </c>
      <c r="J80" s="0" t="s">
        <v>375</v>
      </c>
      <c r="K80" s="0" t="s">
        <v>332</v>
      </c>
      <c r="L80" s="0" t="s">
        <v>332</v>
      </c>
      <c r="M80" s="0" t="s">
        <v>184</v>
      </c>
      <c r="N80" s="0" t="n">
        <v>7823000</v>
      </c>
      <c r="O80" s="0" t="n">
        <v>7823000</v>
      </c>
      <c r="P80" s="0" t="s">
        <v>219</v>
      </c>
      <c r="Q80" s="0" t="s">
        <v>227</v>
      </c>
      <c r="R80" s="0" t="s">
        <v>187</v>
      </c>
      <c r="S80" s="0" t="s">
        <v>376</v>
      </c>
      <c r="T80" s="0" t="s">
        <v>189</v>
      </c>
      <c r="U80" s="0" t="s">
        <v>367</v>
      </c>
      <c r="V80" s="0" t="s">
        <v>368</v>
      </c>
      <c r="W80" s="0" t="s">
        <v>296</v>
      </c>
      <c r="X80" s="0" t="s">
        <v>369</v>
      </c>
      <c r="Y80" s="0" t="n">
        <v>11</v>
      </c>
      <c r="Z80" s="0" t="s">
        <v>185</v>
      </c>
      <c r="AA80" s="0" t="n">
        <v>1</v>
      </c>
      <c r="AB80" s="0" t="s">
        <v>187</v>
      </c>
      <c r="AC80" s="0" t="n">
        <v>8331000</v>
      </c>
      <c r="AD80" s="0" t="n">
        <v>8331000</v>
      </c>
      <c r="AE80" s="0" t="n">
        <v>8331000</v>
      </c>
      <c r="AF80" s="0" t="n">
        <v>0.939</v>
      </c>
      <c r="AG80" s="0" t="n">
        <v>7823000</v>
      </c>
      <c r="AH80" s="0" t="n">
        <v>7823000</v>
      </c>
      <c r="AI80" s="0" t="n">
        <v>508000</v>
      </c>
      <c r="AJ80" s="0" t="n">
        <v>8331000</v>
      </c>
      <c r="AK80" s="0" t="n">
        <v>7823000</v>
      </c>
      <c r="AL80" s="0" t="n">
        <v>7823000</v>
      </c>
      <c r="AN80" s="0" t="n">
        <v>2.957</v>
      </c>
      <c r="AO80" s="0" t="n">
        <v>6.421</v>
      </c>
      <c r="AP80" s="0" t="n">
        <v>3.357</v>
      </c>
      <c r="AQ80" s="0" t="n">
        <v>100</v>
      </c>
      <c r="AR80" s="0" t="n">
        <v>100</v>
      </c>
      <c r="AS80" s="1" t="n">
        <v>44813</v>
      </c>
      <c r="AT80" s="1" t="n">
        <v>51753</v>
      </c>
      <c r="AU80" s="1" t="n">
        <v>46295</v>
      </c>
      <c r="AV80" s="0" t="s">
        <v>370</v>
      </c>
      <c r="AW80" s="0" t="s">
        <v>327</v>
      </c>
      <c r="AX80" s="0" t="s">
        <v>187</v>
      </c>
      <c r="AY80" s="0" t="s">
        <v>371</v>
      </c>
      <c r="AZ80" s="0" t="s">
        <v>372</v>
      </c>
      <c r="BA80" s="0" t="s">
        <v>368</v>
      </c>
      <c r="BB80" s="0" t="s">
        <v>327</v>
      </c>
      <c r="BC80" s="0" t="s">
        <v>373</v>
      </c>
      <c r="BI80" s="0" t="n">
        <v>8331000</v>
      </c>
      <c r="BJ80" s="0" t="n">
        <v>8331000</v>
      </c>
      <c r="BK80" s="0" t="s">
        <v>253</v>
      </c>
      <c r="BL80" s="0" t="s">
        <v>201</v>
      </c>
      <c r="BN80" s="0" t="n">
        <v>11.4</v>
      </c>
      <c r="BO80" s="0" t="n">
        <v>15.2</v>
      </c>
      <c r="BP80" s="0" t="s">
        <v>187</v>
      </c>
      <c r="BQ80" s="0" t="s">
        <v>187</v>
      </c>
      <c r="BR80" s="0" t="s">
        <v>203</v>
      </c>
      <c r="BS80" s="0" t="s">
        <v>377</v>
      </c>
      <c r="BT80" s="0" t="s">
        <v>216</v>
      </c>
      <c r="BU80" s="0" t="s">
        <v>216</v>
      </c>
      <c r="BW80" s="0" t="s">
        <v>257</v>
      </c>
      <c r="BX80" s="0" t="s">
        <v>207</v>
      </c>
      <c r="BY80" s="0" t="n">
        <v>140</v>
      </c>
      <c r="BZ80" s="0" t="n">
        <v>140</v>
      </c>
      <c r="CC80" s="0" t="s">
        <v>256</v>
      </c>
      <c r="CD80" s="0" t="s">
        <v>256</v>
      </c>
      <c r="CE80" s="0" t="s">
        <v>211</v>
      </c>
      <c r="CF80" s="0" t="s">
        <v>211</v>
      </c>
      <c r="CG80" s="0" t="s">
        <v>211</v>
      </c>
      <c r="CH80" s="1" t="n">
        <v>46112</v>
      </c>
      <c r="CI80" s="0" t="n">
        <v>1.2</v>
      </c>
      <c r="CJ80" s="0" t="n">
        <v>1.68</v>
      </c>
      <c r="CK80" s="0" t="n">
        <v>1.76</v>
      </c>
      <c r="CL80" s="0" t="s">
        <v>212</v>
      </c>
      <c r="DA80" s="0" t="n">
        <v>0.61</v>
      </c>
      <c r="DC80" s="0" t="n">
        <v>0.85</v>
      </c>
      <c r="DD80" s="0" t="s">
        <v>212</v>
      </c>
      <c r="ED80" s="0" t="s">
        <v>212</v>
      </c>
      <c r="EE80" s="0" t="n">
        <v>1.05</v>
      </c>
      <c r="EI80" s="0" t="n">
        <v>1.35</v>
      </c>
      <c r="FQ80" s="0" t="n">
        <v>27802668</v>
      </c>
    </row>
    <row r="81" customFormat="false" ht="15" hidden="false" customHeight="false" outlineLevel="0" collapsed="false">
      <c r="B81" s="0" t="str">
        <f aca="false">C81&amp;"x"&amp;I81</f>
        <v>61022x100215</v>
      </c>
      <c r="C81" s="0" t="n">
        <f aca="false">IF(G81="SINGLE",H81,G81)</f>
        <v>61022</v>
      </c>
      <c r="D81" s="0" t="e">
        <f aca="false">_xlfn.XLOOKUP(I81,calculations!$t:$t,calculations!$s:$s)</f>
        <v>#VALUE!</v>
      </c>
      <c r="E81" s="0" t="str">
        <f aca="false">_xlfn.XLOOKUP(I81,Mapping!$T:$T,Mapping!$Q:$Q)</f>
        <v>MERI13</v>
      </c>
      <c r="F81" s="1" t="n">
        <v>46203</v>
      </c>
      <c r="G81" s="0" t="n">
        <v>61022</v>
      </c>
      <c r="H81" s="0" t="n">
        <v>61022</v>
      </c>
      <c r="I81" s="0" t="n">
        <v>100215</v>
      </c>
      <c r="J81" s="0" t="s">
        <v>379</v>
      </c>
      <c r="K81" s="0" t="s">
        <v>273</v>
      </c>
      <c r="L81" s="0" t="s">
        <v>273</v>
      </c>
      <c r="M81" s="0" t="s">
        <v>184</v>
      </c>
      <c r="N81" s="0" t="n">
        <v>30039000</v>
      </c>
      <c r="O81" s="0" t="n">
        <v>30039000</v>
      </c>
      <c r="P81" s="0" t="s">
        <v>185</v>
      </c>
      <c r="Q81" s="0" t="s">
        <v>227</v>
      </c>
      <c r="R81" s="0" t="s">
        <v>202</v>
      </c>
      <c r="S81" s="0" t="s">
        <v>380</v>
      </c>
      <c r="T81" s="0" t="s">
        <v>189</v>
      </c>
      <c r="U81" s="0" t="s">
        <v>307</v>
      </c>
      <c r="V81" s="0" t="s">
        <v>308</v>
      </c>
      <c r="W81" s="0" t="s">
        <v>381</v>
      </c>
      <c r="X81" s="0" t="s">
        <v>382</v>
      </c>
      <c r="Y81" s="0" t="n">
        <v>10.3</v>
      </c>
      <c r="Z81" s="0" t="s">
        <v>185</v>
      </c>
      <c r="AA81" s="0" t="n">
        <v>1</v>
      </c>
      <c r="AB81" s="0" t="s">
        <v>187</v>
      </c>
      <c r="AC81" s="0" t="n">
        <v>31479000</v>
      </c>
      <c r="AD81" s="0" t="n">
        <v>31479000</v>
      </c>
      <c r="AE81" s="0" t="n">
        <v>31479000</v>
      </c>
      <c r="AF81" s="0" t="n">
        <v>0.9543</v>
      </c>
      <c r="AG81" s="0" t="n">
        <v>30039000</v>
      </c>
      <c r="AH81" s="0" t="n">
        <v>30039000</v>
      </c>
      <c r="AI81" s="0" t="n">
        <v>1440000</v>
      </c>
      <c r="AJ81" s="0" t="n">
        <v>31479000</v>
      </c>
      <c r="AK81" s="0" t="n">
        <v>30039000</v>
      </c>
      <c r="AL81" s="0" t="n">
        <v>30039000</v>
      </c>
      <c r="AN81" s="0" t="n">
        <v>4.263</v>
      </c>
      <c r="AO81" s="0" t="n">
        <v>4.512</v>
      </c>
      <c r="AP81" s="0" t="n">
        <v>2.773</v>
      </c>
      <c r="AQ81" s="0" t="n">
        <v>100</v>
      </c>
      <c r="AR81" s="0" t="n">
        <v>100</v>
      </c>
      <c r="AS81" s="1" t="n">
        <v>42651</v>
      </c>
      <c r="AT81" s="1" t="n">
        <v>49590</v>
      </c>
      <c r="AU81" s="1" t="n">
        <v>46295</v>
      </c>
      <c r="AV81" s="0" t="s">
        <v>383</v>
      </c>
      <c r="AW81" s="0" t="s">
        <v>384</v>
      </c>
      <c r="AX81" s="0" t="s">
        <v>187</v>
      </c>
      <c r="AY81" s="0" t="s">
        <v>385</v>
      </c>
      <c r="AZ81" s="0" t="s">
        <v>386</v>
      </c>
      <c r="BA81" s="0" t="s">
        <v>308</v>
      </c>
      <c r="BB81" s="0" t="s">
        <v>384</v>
      </c>
      <c r="BC81" s="0" t="s">
        <v>387</v>
      </c>
      <c r="BI81" s="0" t="n">
        <v>31479000</v>
      </c>
      <c r="BJ81" s="0" t="n">
        <v>31479000</v>
      </c>
      <c r="BK81" s="0" t="s">
        <v>253</v>
      </c>
      <c r="BL81" s="0" t="s">
        <v>201</v>
      </c>
      <c r="BN81" s="0" t="n">
        <v>11.4</v>
      </c>
      <c r="BO81" s="0" t="n">
        <v>9.27</v>
      </c>
      <c r="BP81" s="0" t="s">
        <v>187</v>
      </c>
      <c r="BQ81" s="0" t="s">
        <v>202</v>
      </c>
      <c r="BR81" s="0" t="s">
        <v>203</v>
      </c>
      <c r="BS81" s="0" t="s">
        <v>388</v>
      </c>
      <c r="BT81" s="0" t="s">
        <v>216</v>
      </c>
      <c r="BU81" s="0" t="s">
        <v>255</v>
      </c>
      <c r="BW81" s="0" t="s">
        <v>206</v>
      </c>
      <c r="BX81" s="0" t="s">
        <v>207</v>
      </c>
      <c r="BY81" s="0" t="n">
        <v>330</v>
      </c>
      <c r="BZ81" s="0" t="n">
        <v>330</v>
      </c>
      <c r="CC81" s="0" t="s">
        <v>209</v>
      </c>
      <c r="CD81" s="0" t="s">
        <v>209</v>
      </c>
      <c r="CE81" s="0" t="s">
        <v>239</v>
      </c>
      <c r="CF81" s="0" t="s">
        <v>211</v>
      </c>
      <c r="CG81" s="0" t="s">
        <v>240</v>
      </c>
      <c r="CH81" s="1" t="n">
        <v>46112</v>
      </c>
      <c r="CI81" s="0" t="n">
        <v>1.2</v>
      </c>
      <c r="CJ81" s="0" t="n">
        <v>3.01</v>
      </c>
      <c r="CK81" s="0" t="n">
        <v>3.16</v>
      </c>
      <c r="CL81" s="0" t="s">
        <v>212</v>
      </c>
      <c r="DA81" s="0" t="n">
        <v>0.57</v>
      </c>
      <c r="DC81" s="0" t="n">
        <v>0.85</v>
      </c>
      <c r="DD81" s="0" t="s">
        <v>212</v>
      </c>
      <c r="ED81" s="0" t="s">
        <v>212</v>
      </c>
      <c r="EE81" s="0" t="n">
        <v>1.05</v>
      </c>
      <c r="EI81" s="0" t="n">
        <v>1.32</v>
      </c>
      <c r="FQ81" s="0" t="n">
        <v>71568226</v>
      </c>
    </row>
    <row r="82" customFormat="false" ht="15" hidden="false" customHeight="false" outlineLevel="0" collapsed="false">
      <c r="B82" s="0" t="str">
        <f aca="false">C82&amp;"x"&amp;I82</f>
        <v>61025x100215</v>
      </c>
      <c r="C82" s="0" t="n">
        <f aca="false">IF(G82="SINGLE",H82,G82)</f>
        <v>61025</v>
      </c>
      <c r="D82" s="0" t="e">
        <f aca="false">_xlfn.XLOOKUP(I82,calculations!$t:$t,calculations!$s:$s)</f>
        <v>#VALUE!</v>
      </c>
      <c r="E82" s="0" t="str">
        <f aca="false">_xlfn.XLOOKUP(I82,Mapping!$T:$T,Mapping!$Q:$Q)</f>
        <v>MERI13</v>
      </c>
      <c r="F82" s="1" t="n">
        <v>46203</v>
      </c>
      <c r="G82" s="0" t="n">
        <v>61025</v>
      </c>
      <c r="H82" s="0" t="n">
        <v>61025</v>
      </c>
      <c r="I82" s="0" t="n">
        <v>100215</v>
      </c>
      <c r="J82" s="0" t="s">
        <v>379</v>
      </c>
      <c r="K82" s="0" t="s">
        <v>319</v>
      </c>
      <c r="L82" s="0" t="s">
        <v>319</v>
      </c>
      <c r="M82" s="0" t="s">
        <v>184</v>
      </c>
      <c r="N82" s="0" t="n">
        <v>26212000</v>
      </c>
      <c r="O82" s="0" t="n">
        <v>26212000</v>
      </c>
      <c r="P82" s="0" t="s">
        <v>185</v>
      </c>
      <c r="Q82" s="0" t="s">
        <v>227</v>
      </c>
      <c r="R82" s="0" t="s">
        <v>202</v>
      </c>
      <c r="S82" s="0" t="s">
        <v>380</v>
      </c>
      <c r="T82" s="0" t="s">
        <v>189</v>
      </c>
      <c r="U82" s="0" t="s">
        <v>307</v>
      </c>
      <c r="V82" s="0" t="s">
        <v>308</v>
      </c>
      <c r="W82" s="0" t="s">
        <v>381</v>
      </c>
      <c r="X82" s="0" t="s">
        <v>382</v>
      </c>
      <c r="Y82" s="0" t="n">
        <v>10.3</v>
      </c>
      <c r="Z82" s="0" t="s">
        <v>185</v>
      </c>
      <c r="AA82" s="0" t="n">
        <v>1</v>
      </c>
      <c r="AB82" s="0" t="s">
        <v>187</v>
      </c>
      <c r="AC82" s="0" t="n">
        <v>27469000</v>
      </c>
      <c r="AD82" s="0" t="n">
        <v>27469000</v>
      </c>
      <c r="AE82" s="0" t="n">
        <v>27469000</v>
      </c>
      <c r="AF82" s="0" t="n">
        <v>0.9542</v>
      </c>
      <c r="AG82" s="0" t="n">
        <v>26212000</v>
      </c>
      <c r="AH82" s="0" t="n">
        <v>26212000</v>
      </c>
      <c r="AI82" s="0" t="n">
        <v>1257000</v>
      </c>
      <c r="AJ82" s="0" t="n">
        <v>27469000</v>
      </c>
      <c r="AK82" s="0" t="n">
        <v>26212000</v>
      </c>
      <c r="AL82" s="0" t="n">
        <v>26212000</v>
      </c>
      <c r="AN82" s="0" t="n">
        <v>2.724</v>
      </c>
      <c r="AO82" s="0" t="n">
        <v>6.325</v>
      </c>
      <c r="AP82" s="0" t="n">
        <v>3.455</v>
      </c>
      <c r="AQ82" s="0" t="n">
        <v>100</v>
      </c>
      <c r="AR82" s="0" t="n">
        <v>100</v>
      </c>
      <c r="AS82" s="1" t="n">
        <v>42651</v>
      </c>
      <c r="AT82" s="1" t="n">
        <v>49590</v>
      </c>
      <c r="AU82" s="1" t="n">
        <v>46295</v>
      </c>
      <c r="AV82" s="0" t="s">
        <v>383</v>
      </c>
      <c r="AW82" s="0" t="s">
        <v>384</v>
      </c>
      <c r="AX82" s="0" t="s">
        <v>187</v>
      </c>
      <c r="AY82" s="0" t="s">
        <v>385</v>
      </c>
      <c r="AZ82" s="0" t="s">
        <v>386</v>
      </c>
      <c r="BA82" s="0" t="s">
        <v>308</v>
      </c>
      <c r="BB82" s="0" t="s">
        <v>384</v>
      </c>
      <c r="BC82" s="0" t="s">
        <v>387</v>
      </c>
      <c r="BI82" s="0" t="n">
        <v>27469000</v>
      </c>
      <c r="BJ82" s="0" t="n">
        <v>27469000</v>
      </c>
      <c r="BK82" s="0" t="s">
        <v>253</v>
      </c>
      <c r="BL82" s="0" t="s">
        <v>201</v>
      </c>
      <c r="BN82" s="0" t="n">
        <v>11.4</v>
      </c>
      <c r="BO82" s="0" t="n">
        <v>9.27</v>
      </c>
      <c r="BP82" s="0" t="s">
        <v>187</v>
      </c>
      <c r="BQ82" s="0" t="s">
        <v>202</v>
      </c>
      <c r="BR82" s="0" t="s">
        <v>203</v>
      </c>
      <c r="BS82" s="0" t="s">
        <v>388</v>
      </c>
      <c r="BT82" s="0" t="s">
        <v>216</v>
      </c>
      <c r="BU82" s="0" t="s">
        <v>224</v>
      </c>
      <c r="BW82" s="0" t="s">
        <v>257</v>
      </c>
      <c r="BX82" s="0" t="s">
        <v>207</v>
      </c>
      <c r="BY82" s="0" t="n">
        <v>330</v>
      </c>
      <c r="BZ82" s="0" t="n">
        <v>330</v>
      </c>
      <c r="CC82" s="0" t="s">
        <v>209</v>
      </c>
      <c r="CD82" s="0" t="s">
        <v>209</v>
      </c>
      <c r="CE82" s="0" t="s">
        <v>239</v>
      </c>
      <c r="CF82" s="0" t="s">
        <v>211</v>
      </c>
      <c r="CG82" s="0" t="s">
        <v>240</v>
      </c>
      <c r="CH82" s="1" t="n">
        <v>46112</v>
      </c>
      <c r="CI82" s="0" t="n">
        <v>1.2</v>
      </c>
      <c r="CJ82" s="0" t="n">
        <v>2.46</v>
      </c>
      <c r="CK82" s="0" t="n">
        <v>2.58</v>
      </c>
      <c r="CL82" s="0" t="s">
        <v>212</v>
      </c>
      <c r="DA82" s="0" t="n">
        <v>0.46</v>
      </c>
      <c r="DC82" s="0" t="n">
        <v>0.85</v>
      </c>
      <c r="DD82" s="0" t="s">
        <v>212</v>
      </c>
      <c r="ED82" s="0" t="s">
        <v>212</v>
      </c>
      <c r="EE82" s="0" t="n">
        <v>1.05</v>
      </c>
      <c r="EI82" s="0" t="n">
        <v>1.22</v>
      </c>
      <c r="FQ82" s="0" t="n">
        <v>80837537</v>
      </c>
    </row>
    <row r="83" customFormat="false" ht="15" hidden="false" customHeight="false" outlineLevel="0" collapsed="false">
      <c r="B83" s="0" t="str">
        <f aca="false">C83&amp;"x"&amp;I83</f>
        <v>61005x100215</v>
      </c>
      <c r="C83" s="0" t="n">
        <f aca="false">IF(G83="SINGLE",H83,G83)</f>
        <v>61005</v>
      </c>
      <c r="D83" s="0" t="e">
        <f aca="false">_xlfn.XLOOKUP(I83,calculations!$t:$t,calculations!$s:$s)</f>
        <v>#VALUE!</v>
      </c>
      <c r="E83" s="0" t="str">
        <f aca="false">_xlfn.XLOOKUP(I83,Mapping!$T:$T,Mapping!$Q:$Q)</f>
        <v>MERI13</v>
      </c>
      <c r="F83" s="1" t="n">
        <v>46203</v>
      </c>
      <c r="G83" s="0" t="n">
        <v>61005</v>
      </c>
      <c r="H83" s="0" t="n">
        <v>61005</v>
      </c>
      <c r="I83" s="0" t="n">
        <v>100215</v>
      </c>
      <c r="J83" s="0" t="s">
        <v>379</v>
      </c>
      <c r="K83" s="0" t="s">
        <v>275</v>
      </c>
      <c r="L83" s="0" t="s">
        <v>275</v>
      </c>
      <c r="M83" s="0" t="s">
        <v>184</v>
      </c>
      <c r="N83" s="0" t="n">
        <v>8778000</v>
      </c>
      <c r="O83" s="0" t="n">
        <v>8778000</v>
      </c>
      <c r="P83" s="0" t="s">
        <v>185</v>
      </c>
      <c r="Q83" s="0" t="s">
        <v>227</v>
      </c>
      <c r="R83" s="0" t="s">
        <v>202</v>
      </c>
      <c r="S83" s="0" t="s">
        <v>380</v>
      </c>
      <c r="T83" s="0" t="s">
        <v>189</v>
      </c>
      <c r="U83" s="0" t="s">
        <v>307</v>
      </c>
      <c r="V83" s="0" t="s">
        <v>308</v>
      </c>
      <c r="W83" s="0" t="s">
        <v>381</v>
      </c>
      <c r="X83" s="0" t="s">
        <v>382</v>
      </c>
      <c r="Y83" s="0" t="n">
        <v>10.3</v>
      </c>
      <c r="Z83" s="0" t="s">
        <v>185</v>
      </c>
      <c r="AA83" s="0" t="n">
        <v>1</v>
      </c>
      <c r="AB83" s="0" t="s">
        <v>187</v>
      </c>
      <c r="AC83" s="0" t="n">
        <v>9199000</v>
      </c>
      <c r="AD83" s="0" t="n">
        <v>9199000</v>
      </c>
      <c r="AE83" s="0" t="n">
        <v>9199000</v>
      </c>
      <c r="AF83" s="0" t="n">
        <v>0.9542</v>
      </c>
      <c r="AG83" s="0" t="n">
        <v>8778000</v>
      </c>
      <c r="AH83" s="0" t="n">
        <v>8778000</v>
      </c>
      <c r="AI83" s="0" t="n">
        <v>421000</v>
      </c>
      <c r="AJ83" s="0" t="n">
        <v>9199000</v>
      </c>
      <c r="AK83" s="0" t="n">
        <v>8778000</v>
      </c>
      <c r="AL83" s="0" t="n">
        <v>8778000</v>
      </c>
      <c r="AN83" s="0" t="n">
        <v>6.224</v>
      </c>
      <c r="AO83" s="0" t="n">
        <v>5.801</v>
      </c>
      <c r="AP83" s="0" t="n">
        <v>2.636</v>
      </c>
      <c r="AQ83" s="0" t="n">
        <v>100</v>
      </c>
      <c r="AR83" s="0" t="n">
        <v>100</v>
      </c>
      <c r="AS83" s="1" t="n">
        <v>42651</v>
      </c>
      <c r="AT83" s="1" t="n">
        <v>49590</v>
      </c>
      <c r="AU83" s="1" t="n">
        <v>46295</v>
      </c>
      <c r="AV83" s="0" t="s">
        <v>383</v>
      </c>
      <c r="AW83" s="0" t="s">
        <v>384</v>
      </c>
      <c r="AX83" s="0" t="s">
        <v>187</v>
      </c>
      <c r="AY83" s="0" t="s">
        <v>385</v>
      </c>
      <c r="AZ83" s="0" t="s">
        <v>386</v>
      </c>
      <c r="BA83" s="0" t="s">
        <v>308</v>
      </c>
      <c r="BB83" s="0" t="s">
        <v>384</v>
      </c>
      <c r="BC83" s="0" t="s">
        <v>387</v>
      </c>
      <c r="BI83" s="0" t="n">
        <v>9199000</v>
      </c>
      <c r="BJ83" s="0" t="n">
        <v>9199000</v>
      </c>
      <c r="BK83" s="0" t="s">
        <v>253</v>
      </c>
      <c r="BL83" s="0" t="s">
        <v>201</v>
      </c>
      <c r="BN83" s="0" t="n">
        <v>11.4</v>
      </c>
      <c r="BO83" s="0" t="n">
        <v>9.27</v>
      </c>
      <c r="BP83" s="0" t="s">
        <v>187</v>
      </c>
      <c r="BQ83" s="0" t="s">
        <v>202</v>
      </c>
      <c r="BR83" s="0" t="s">
        <v>203</v>
      </c>
      <c r="BS83" s="0" t="s">
        <v>388</v>
      </c>
      <c r="BT83" s="0" t="s">
        <v>216</v>
      </c>
      <c r="BU83" s="0" t="s">
        <v>220</v>
      </c>
      <c r="BW83" s="0" t="s">
        <v>257</v>
      </c>
      <c r="BX83" s="0" t="s">
        <v>207</v>
      </c>
      <c r="BY83" s="0" t="n">
        <v>330</v>
      </c>
      <c r="BZ83" s="0" t="n">
        <v>330</v>
      </c>
      <c r="CC83" s="0" t="s">
        <v>209</v>
      </c>
      <c r="CD83" s="0" t="s">
        <v>209</v>
      </c>
      <c r="CE83" s="0" t="s">
        <v>239</v>
      </c>
      <c r="CF83" s="0" t="s">
        <v>211</v>
      </c>
      <c r="CG83" s="0" t="s">
        <v>240</v>
      </c>
      <c r="CH83" s="1" t="n">
        <v>46112</v>
      </c>
      <c r="CI83" s="0" t="n">
        <v>1.2</v>
      </c>
      <c r="CJ83" s="0" t="n">
        <v>3.24</v>
      </c>
      <c r="CK83" s="0" t="n">
        <v>3.4</v>
      </c>
      <c r="CL83" s="0" t="s">
        <v>212</v>
      </c>
      <c r="DA83" s="0" t="n">
        <v>0.49</v>
      </c>
      <c r="DC83" s="0" t="n">
        <v>0.85</v>
      </c>
      <c r="DD83" s="0" t="s">
        <v>212</v>
      </c>
      <c r="ED83" s="0" t="s">
        <v>212</v>
      </c>
      <c r="EE83" s="0" t="n">
        <v>1.05</v>
      </c>
      <c r="EI83" s="0" t="n">
        <v>1.84</v>
      </c>
      <c r="FQ83" s="0" t="n">
        <v>49081248</v>
      </c>
    </row>
    <row r="84" customFormat="false" ht="15" hidden="false" customHeight="false" outlineLevel="0" collapsed="false">
      <c r="B84" s="0" t="str">
        <f aca="false">C84&amp;"x"&amp;I84</f>
        <v>61018x100215</v>
      </c>
      <c r="C84" s="0" t="n">
        <f aca="false">IF(G84="SINGLE",H84,G84)</f>
        <v>61018</v>
      </c>
      <c r="D84" s="0" t="e">
        <f aca="false">_xlfn.XLOOKUP(I84,calculations!$t:$t,calculations!$s:$s)</f>
        <v>#VALUE!</v>
      </c>
      <c r="E84" s="0" t="str">
        <f aca="false">_xlfn.XLOOKUP(I84,Mapping!$T:$T,Mapping!$Q:$Q)</f>
        <v>MERI13</v>
      </c>
      <c r="F84" s="1" t="n">
        <v>46203</v>
      </c>
      <c r="G84" s="0" t="n">
        <v>61018</v>
      </c>
      <c r="H84" s="0" t="n">
        <v>61018</v>
      </c>
      <c r="I84" s="0" t="n">
        <v>100215</v>
      </c>
      <c r="J84" s="0" t="s">
        <v>379</v>
      </c>
      <c r="K84" s="0" t="s">
        <v>258</v>
      </c>
      <c r="L84" s="0" t="s">
        <v>258</v>
      </c>
      <c r="M84" s="0" t="s">
        <v>184</v>
      </c>
      <c r="N84" s="0" t="n">
        <v>20808000</v>
      </c>
      <c r="O84" s="0" t="n">
        <v>20808000</v>
      </c>
      <c r="P84" s="0" t="s">
        <v>185</v>
      </c>
      <c r="Q84" s="0" t="s">
        <v>227</v>
      </c>
      <c r="R84" s="0" t="s">
        <v>202</v>
      </c>
      <c r="S84" s="0" t="s">
        <v>380</v>
      </c>
      <c r="T84" s="0" t="s">
        <v>189</v>
      </c>
      <c r="U84" s="0" t="s">
        <v>307</v>
      </c>
      <c r="V84" s="0" t="s">
        <v>308</v>
      </c>
      <c r="W84" s="0" t="s">
        <v>381</v>
      </c>
      <c r="X84" s="0" t="s">
        <v>382</v>
      </c>
      <c r="Y84" s="0" t="n">
        <v>10.3</v>
      </c>
      <c r="Z84" s="0" t="s">
        <v>185</v>
      </c>
      <c r="AA84" s="0" t="n">
        <v>1</v>
      </c>
      <c r="AB84" s="0" t="s">
        <v>187</v>
      </c>
      <c r="AC84" s="0" t="n">
        <v>21806000</v>
      </c>
      <c r="AD84" s="0" t="n">
        <v>21806000</v>
      </c>
      <c r="AE84" s="0" t="n">
        <v>21806000</v>
      </c>
      <c r="AF84" s="0" t="n">
        <v>0.9542</v>
      </c>
      <c r="AG84" s="0" t="n">
        <v>20808000</v>
      </c>
      <c r="AH84" s="0" t="n">
        <v>20808000</v>
      </c>
      <c r="AI84" s="0" t="n">
        <v>998000</v>
      </c>
      <c r="AJ84" s="0" t="n">
        <v>21806000</v>
      </c>
      <c r="AK84" s="0" t="n">
        <v>20808000</v>
      </c>
      <c r="AL84" s="0" t="n">
        <v>20808000</v>
      </c>
      <c r="AN84" s="0" t="n">
        <v>4.424</v>
      </c>
      <c r="AO84" s="0" t="n">
        <v>3.398</v>
      </c>
      <c r="AP84" s="0" t="n">
        <v>6.434</v>
      </c>
      <c r="AQ84" s="0" t="n">
        <v>100</v>
      </c>
      <c r="AR84" s="0" t="n">
        <v>100</v>
      </c>
      <c r="AS84" s="1" t="n">
        <v>42651</v>
      </c>
      <c r="AU84" s="1" t="n">
        <v>46295</v>
      </c>
      <c r="AV84" s="0" t="s">
        <v>383</v>
      </c>
      <c r="AW84" s="0" t="s">
        <v>384</v>
      </c>
      <c r="AX84" s="0" t="s">
        <v>187</v>
      </c>
      <c r="AY84" s="0" t="s">
        <v>385</v>
      </c>
      <c r="AZ84" s="0" t="s">
        <v>386</v>
      </c>
      <c r="BA84" s="0" t="s">
        <v>308</v>
      </c>
      <c r="BB84" s="0" t="s">
        <v>384</v>
      </c>
      <c r="BC84" s="0" t="s">
        <v>387</v>
      </c>
      <c r="BI84" s="0" t="n">
        <v>21806000</v>
      </c>
      <c r="BJ84" s="0" t="n">
        <v>21806000</v>
      </c>
      <c r="BK84" s="0" t="s">
        <v>253</v>
      </c>
      <c r="BL84" s="0" t="s">
        <v>201</v>
      </c>
      <c r="BN84" s="0" t="n">
        <v>11.4</v>
      </c>
      <c r="BO84" s="0" t="n">
        <v>9.27</v>
      </c>
      <c r="BP84" s="0" t="s">
        <v>187</v>
      </c>
      <c r="BQ84" s="0" t="s">
        <v>202</v>
      </c>
      <c r="BR84" s="0" t="s">
        <v>203</v>
      </c>
      <c r="BS84" s="0" t="s">
        <v>388</v>
      </c>
      <c r="BT84" s="0" t="s">
        <v>216</v>
      </c>
      <c r="BU84" s="0" t="s">
        <v>216</v>
      </c>
      <c r="BW84" s="0" t="s">
        <v>257</v>
      </c>
      <c r="BX84" s="0" t="s">
        <v>207</v>
      </c>
      <c r="BY84" s="0" t="n">
        <v>330</v>
      </c>
      <c r="BZ84" s="0" t="n">
        <v>330</v>
      </c>
      <c r="CC84" s="0" t="s">
        <v>209</v>
      </c>
      <c r="CD84" s="0" t="s">
        <v>209</v>
      </c>
      <c r="CE84" s="0" t="s">
        <v>239</v>
      </c>
      <c r="CF84" s="0" t="s">
        <v>211</v>
      </c>
      <c r="CG84" s="0" t="s">
        <v>240</v>
      </c>
      <c r="CH84" s="1" t="n">
        <v>46112</v>
      </c>
      <c r="CI84" s="0" t="n">
        <v>1.2</v>
      </c>
      <c r="CJ84" s="0" t="n">
        <v>2.59</v>
      </c>
      <c r="CK84" s="0" t="n">
        <v>2.72</v>
      </c>
      <c r="CL84" s="0" t="s">
        <v>212</v>
      </c>
      <c r="DA84" s="0" t="n">
        <v>0.63</v>
      </c>
      <c r="DC84" s="0" t="n">
        <v>0.85</v>
      </c>
      <c r="DD84" s="0" t="s">
        <v>212</v>
      </c>
      <c r="ED84" s="0" t="s">
        <v>212</v>
      </c>
      <c r="EE84" s="0" t="n">
        <v>1.05</v>
      </c>
      <c r="EI84" s="0" t="n">
        <v>1.42</v>
      </c>
      <c r="FQ84" s="0" t="n">
        <v>65888359</v>
      </c>
    </row>
    <row r="85" customFormat="false" ht="15" hidden="false" customHeight="false" outlineLevel="0" collapsed="false">
      <c r="B85" s="0" t="str">
        <f aca="false">C85&amp;"x"&amp;I85</f>
        <v>61015x100215</v>
      </c>
      <c r="C85" s="0" t="n">
        <f aca="false">IF(G85="SINGLE",H85,G85)</f>
        <v>61015</v>
      </c>
      <c r="D85" s="0" t="e">
        <f aca="false">_xlfn.XLOOKUP(I85,calculations!$t:$t,calculations!$s:$s)</f>
        <v>#VALUE!</v>
      </c>
      <c r="E85" s="0" t="str">
        <f aca="false">_xlfn.XLOOKUP(I85,Mapping!$T:$T,Mapping!$Q:$Q)</f>
        <v>MERI13</v>
      </c>
      <c r="F85" s="1" t="n">
        <v>46203</v>
      </c>
      <c r="G85" s="0" t="n">
        <v>61015</v>
      </c>
      <c r="H85" s="0" t="n">
        <v>61015</v>
      </c>
      <c r="I85" s="0" t="n">
        <v>100215</v>
      </c>
      <c r="J85" s="0" t="s">
        <v>379</v>
      </c>
      <c r="K85" s="0" t="s">
        <v>215</v>
      </c>
      <c r="L85" s="0" t="s">
        <v>215</v>
      </c>
      <c r="M85" s="0" t="s">
        <v>184</v>
      </c>
      <c r="N85" s="0" t="n">
        <v>31277000</v>
      </c>
      <c r="O85" s="0" t="n">
        <v>31277000</v>
      </c>
      <c r="P85" s="0" t="s">
        <v>185</v>
      </c>
      <c r="Q85" s="0" t="s">
        <v>227</v>
      </c>
      <c r="R85" s="0" t="s">
        <v>202</v>
      </c>
      <c r="S85" s="0" t="s">
        <v>380</v>
      </c>
      <c r="T85" s="0" t="s">
        <v>189</v>
      </c>
      <c r="U85" s="0" t="s">
        <v>307</v>
      </c>
      <c r="V85" s="0" t="s">
        <v>308</v>
      </c>
      <c r="W85" s="0" t="s">
        <v>381</v>
      </c>
      <c r="X85" s="0" t="s">
        <v>382</v>
      </c>
      <c r="Y85" s="0" t="n">
        <v>10.3</v>
      </c>
      <c r="Z85" s="0" t="s">
        <v>185</v>
      </c>
      <c r="AA85" s="0" t="n">
        <v>1</v>
      </c>
      <c r="AB85" s="0" t="s">
        <v>187</v>
      </c>
      <c r="AC85" s="0" t="n">
        <v>32776000</v>
      </c>
      <c r="AD85" s="0" t="n">
        <v>32776000</v>
      </c>
      <c r="AE85" s="0" t="n">
        <v>32776000</v>
      </c>
      <c r="AF85" s="0" t="n">
        <v>0.9543</v>
      </c>
      <c r="AG85" s="0" t="n">
        <v>31277000</v>
      </c>
      <c r="AH85" s="0" t="n">
        <v>31277000</v>
      </c>
      <c r="AI85" s="0" t="n">
        <v>1499000</v>
      </c>
      <c r="AJ85" s="0" t="n">
        <v>32776000</v>
      </c>
      <c r="AK85" s="0" t="n">
        <v>31277000</v>
      </c>
      <c r="AL85" s="0" t="n">
        <v>31277000</v>
      </c>
      <c r="AN85" s="0" t="n">
        <v>2.567</v>
      </c>
      <c r="AO85" s="0" t="n">
        <v>4.908</v>
      </c>
      <c r="AP85" s="0" t="n">
        <v>5.828</v>
      </c>
      <c r="AQ85" s="0" t="n">
        <v>100</v>
      </c>
      <c r="AR85" s="0" t="n">
        <v>100</v>
      </c>
      <c r="AS85" s="1" t="n">
        <v>42651</v>
      </c>
      <c r="AT85" s="1" t="n">
        <v>49590</v>
      </c>
      <c r="AU85" s="1" t="n">
        <v>46295</v>
      </c>
      <c r="AV85" s="0" t="s">
        <v>383</v>
      </c>
      <c r="AW85" s="0" t="s">
        <v>384</v>
      </c>
      <c r="AX85" s="0" t="s">
        <v>187</v>
      </c>
      <c r="AY85" s="0" t="s">
        <v>385</v>
      </c>
      <c r="AZ85" s="0" t="s">
        <v>386</v>
      </c>
      <c r="BA85" s="0" t="s">
        <v>308</v>
      </c>
      <c r="BB85" s="0" t="s">
        <v>384</v>
      </c>
      <c r="BC85" s="0" t="s">
        <v>387</v>
      </c>
      <c r="BI85" s="0" t="n">
        <v>32776000</v>
      </c>
      <c r="BJ85" s="0" t="n">
        <v>32776000</v>
      </c>
      <c r="BK85" s="0" t="s">
        <v>253</v>
      </c>
      <c r="BL85" s="0" t="s">
        <v>201</v>
      </c>
      <c r="BN85" s="0" t="n">
        <v>11.4</v>
      </c>
      <c r="BO85" s="0" t="n">
        <v>9.27</v>
      </c>
      <c r="BP85" s="0" t="s">
        <v>187</v>
      </c>
      <c r="BQ85" s="0" t="s">
        <v>202</v>
      </c>
      <c r="BR85" s="0" t="s">
        <v>203</v>
      </c>
      <c r="BS85" s="0" t="s">
        <v>388</v>
      </c>
      <c r="BT85" s="0" t="s">
        <v>216</v>
      </c>
      <c r="BU85" s="0" t="s">
        <v>255</v>
      </c>
      <c r="BW85" s="0" t="s">
        <v>257</v>
      </c>
      <c r="BX85" s="0" t="s">
        <v>217</v>
      </c>
      <c r="BY85" s="0" t="n">
        <v>330</v>
      </c>
      <c r="BZ85" s="0" t="n">
        <v>330</v>
      </c>
      <c r="CC85" s="0" t="s">
        <v>209</v>
      </c>
      <c r="CD85" s="0" t="s">
        <v>209</v>
      </c>
      <c r="CE85" s="0" t="s">
        <v>239</v>
      </c>
      <c r="CF85" s="0" t="s">
        <v>211</v>
      </c>
      <c r="CG85" s="0" t="s">
        <v>240</v>
      </c>
      <c r="CH85" s="1" t="n">
        <v>46112</v>
      </c>
      <c r="CI85" s="0" t="n">
        <v>1.2</v>
      </c>
      <c r="CJ85" s="0" t="n">
        <v>1.55</v>
      </c>
      <c r="CK85" s="0" t="n">
        <v>1.63</v>
      </c>
      <c r="CL85" s="0" t="s">
        <v>212</v>
      </c>
      <c r="DA85" s="0" t="n">
        <v>0.53</v>
      </c>
      <c r="DC85" s="0" t="n">
        <v>0.85</v>
      </c>
      <c r="DD85" s="0" t="s">
        <v>212</v>
      </c>
      <c r="ED85" s="0" t="s">
        <v>212</v>
      </c>
      <c r="EE85" s="0" t="n">
        <v>1.05</v>
      </c>
      <c r="EI85" s="0" t="n">
        <v>1.58</v>
      </c>
      <c r="FQ85" s="0" t="n">
        <v>75588706</v>
      </c>
    </row>
    <row r="86" customFormat="false" ht="15" hidden="false" customHeight="false" outlineLevel="0" collapsed="false">
      <c r="B86" s="0" t="str">
        <f aca="false">C86&amp;"x"&amp;I86</f>
        <v>61004x100216</v>
      </c>
      <c r="C86" s="0" t="n">
        <f aca="false">IF(G86="SINGLE",H86,G86)</f>
        <v>61004</v>
      </c>
      <c r="D86" s="0" t="e">
        <f aca="false">_xlfn.XLOOKUP(I86,calculations!$t:$t,calculations!$s:$s)</f>
        <v>#VALUE!</v>
      </c>
      <c r="E86" s="0" t="str">
        <f aca="false">_xlfn.XLOOKUP(I86,Mapping!$T:$T,Mapping!$Q:$Q)</f>
        <v>NIMB14</v>
      </c>
      <c r="F86" s="1" t="n">
        <v>46203</v>
      </c>
      <c r="G86" s="0" t="n">
        <v>61004</v>
      </c>
      <c r="H86" s="0" t="n">
        <v>61004</v>
      </c>
      <c r="I86" s="0" t="n">
        <v>100216</v>
      </c>
      <c r="J86" s="0" t="s">
        <v>389</v>
      </c>
      <c r="K86" s="0" t="s">
        <v>390</v>
      </c>
      <c r="L86" s="0" t="s">
        <v>390</v>
      </c>
      <c r="M86" s="0" t="s">
        <v>184</v>
      </c>
      <c r="N86" s="0" t="n">
        <v>5122000</v>
      </c>
      <c r="O86" s="0" t="n">
        <v>5122000</v>
      </c>
      <c r="P86" s="0" t="s">
        <v>185</v>
      </c>
      <c r="Q86" s="0" t="s">
        <v>227</v>
      </c>
      <c r="R86" s="0" t="s">
        <v>187</v>
      </c>
      <c r="S86" s="0" t="s">
        <v>391</v>
      </c>
      <c r="T86" s="0" t="s">
        <v>189</v>
      </c>
      <c r="U86" s="0" t="s">
        <v>307</v>
      </c>
      <c r="V86" s="0" t="s">
        <v>308</v>
      </c>
      <c r="W86" s="0" t="s">
        <v>231</v>
      </c>
      <c r="X86" s="0" t="s">
        <v>392</v>
      </c>
      <c r="Y86" s="0" t="n">
        <v>11.8</v>
      </c>
      <c r="Z86" s="0" t="s">
        <v>185</v>
      </c>
      <c r="AA86" s="0" t="n">
        <v>1</v>
      </c>
      <c r="AB86" s="0" t="s">
        <v>187</v>
      </c>
      <c r="AC86" s="0" t="n">
        <v>5217000</v>
      </c>
      <c r="AD86" s="0" t="n">
        <v>5217000</v>
      </c>
      <c r="AE86" s="0" t="n">
        <v>5217000</v>
      </c>
      <c r="AF86" s="0" t="n">
        <v>0.9818</v>
      </c>
      <c r="AG86" s="0" t="n">
        <v>5122000</v>
      </c>
      <c r="AH86" s="0" t="n">
        <v>5122000</v>
      </c>
      <c r="AI86" s="0" t="n">
        <v>95000</v>
      </c>
      <c r="AJ86" s="0" t="n">
        <v>5217000</v>
      </c>
      <c r="AK86" s="0" t="n">
        <v>5122000</v>
      </c>
      <c r="AL86" s="0" t="n">
        <v>5122000</v>
      </c>
      <c r="AN86" s="0" t="n">
        <v>3.155</v>
      </c>
      <c r="AO86" s="0" t="n">
        <v>3.022</v>
      </c>
      <c r="AP86" s="0" t="n">
        <v>3.621</v>
      </c>
      <c r="AQ86" s="0" t="n">
        <v>100</v>
      </c>
      <c r="AR86" s="0" t="n">
        <v>100</v>
      </c>
      <c r="AS86" s="1" t="n">
        <v>42217</v>
      </c>
      <c r="AT86" s="1" t="n">
        <v>50072</v>
      </c>
      <c r="AU86" s="1" t="n">
        <v>46295</v>
      </c>
      <c r="AV86" s="0" t="s">
        <v>393</v>
      </c>
      <c r="AW86" s="0" t="s">
        <v>249</v>
      </c>
      <c r="AX86" s="0" t="s">
        <v>187</v>
      </c>
      <c r="AY86" s="0" t="s">
        <v>394</v>
      </c>
      <c r="AZ86" s="0" t="s">
        <v>395</v>
      </c>
      <c r="BA86" s="0" t="s">
        <v>308</v>
      </c>
      <c r="BB86" s="0" t="s">
        <v>249</v>
      </c>
      <c r="BC86" s="0" t="s">
        <v>396</v>
      </c>
      <c r="BI86" s="0" t="n">
        <v>5217000</v>
      </c>
      <c r="BJ86" s="0" t="n">
        <v>5217000</v>
      </c>
      <c r="BK86" s="0" t="s">
        <v>253</v>
      </c>
      <c r="BL86" s="0" t="s">
        <v>201</v>
      </c>
      <c r="BN86" s="0" t="n">
        <v>12.9</v>
      </c>
      <c r="BO86" s="0" t="n">
        <v>10.59</v>
      </c>
      <c r="BP86" s="0" t="s">
        <v>187</v>
      </c>
      <c r="BQ86" s="0" t="s">
        <v>187</v>
      </c>
      <c r="BR86" s="0" t="s">
        <v>203</v>
      </c>
      <c r="BS86" s="0" t="s">
        <v>397</v>
      </c>
      <c r="BT86" s="0" t="s">
        <v>269</v>
      </c>
      <c r="BU86" s="0" t="s">
        <v>216</v>
      </c>
      <c r="BW86" s="0" t="s">
        <v>257</v>
      </c>
      <c r="BX86" s="0" t="s">
        <v>217</v>
      </c>
      <c r="BY86" s="0" t="n">
        <v>405</v>
      </c>
      <c r="BZ86" s="0" t="n">
        <v>405</v>
      </c>
      <c r="CC86" s="0" t="s">
        <v>289</v>
      </c>
      <c r="CD86" s="0" t="s">
        <v>289</v>
      </c>
      <c r="CE86" s="0" t="s">
        <v>211</v>
      </c>
      <c r="CF86" s="0" t="s">
        <v>211</v>
      </c>
      <c r="CG86" s="0" t="s">
        <v>211</v>
      </c>
      <c r="CH86" s="1" t="n">
        <v>46112</v>
      </c>
      <c r="CI86" s="0" t="n">
        <v>1.2</v>
      </c>
      <c r="CJ86" s="0" t="n">
        <v>2.01</v>
      </c>
      <c r="CK86" s="0" t="n">
        <v>2.11</v>
      </c>
      <c r="CL86" s="0" t="s">
        <v>212</v>
      </c>
      <c r="DA86" s="0" t="n">
        <v>0.73</v>
      </c>
      <c r="DC86" s="0" t="n">
        <v>0.85</v>
      </c>
      <c r="DD86" s="0" t="s">
        <v>212</v>
      </c>
      <c r="ED86" s="0" t="s">
        <v>213</v>
      </c>
      <c r="EE86" s="0" t="n">
        <v>1.05</v>
      </c>
      <c r="EI86" s="0" t="n">
        <v>1.09</v>
      </c>
      <c r="FQ86" s="0" t="n">
        <v>7431952</v>
      </c>
    </row>
    <row r="87" customFormat="false" ht="15" hidden="false" customHeight="false" outlineLevel="0" collapsed="false">
      <c r="B87" s="0" t="str">
        <f aca="false">C87&amp;"x"&amp;I87</f>
        <v>61015x100216</v>
      </c>
      <c r="C87" s="0" t="n">
        <f aca="false">IF(G87="SINGLE",H87,G87)</f>
        <v>61015</v>
      </c>
      <c r="D87" s="0" t="e">
        <f aca="false">_xlfn.XLOOKUP(I87,calculations!$t:$t,calculations!$s:$s)</f>
        <v>#VALUE!</v>
      </c>
      <c r="E87" s="0" t="str">
        <f aca="false">_xlfn.XLOOKUP(I87,Mapping!$T:$T,Mapping!$Q:$Q)</f>
        <v>NIMB14</v>
      </c>
      <c r="F87" s="1" t="n">
        <v>46203</v>
      </c>
      <c r="G87" s="0" t="n">
        <v>61015</v>
      </c>
      <c r="H87" s="0" t="n">
        <v>61015</v>
      </c>
      <c r="I87" s="0" t="n">
        <v>100216</v>
      </c>
      <c r="J87" s="0" t="s">
        <v>389</v>
      </c>
      <c r="K87" s="0" t="s">
        <v>215</v>
      </c>
      <c r="L87" s="0" t="s">
        <v>215</v>
      </c>
      <c r="M87" s="0" t="s">
        <v>184</v>
      </c>
      <c r="N87" s="0" t="n">
        <v>5681000</v>
      </c>
      <c r="O87" s="0" t="n">
        <v>5681000</v>
      </c>
      <c r="P87" s="0" t="s">
        <v>185</v>
      </c>
      <c r="Q87" s="0" t="s">
        <v>227</v>
      </c>
      <c r="R87" s="0" t="s">
        <v>187</v>
      </c>
      <c r="S87" s="0" t="s">
        <v>391</v>
      </c>
      <c r="T87" s="0" t="s">
        <v>189</v>
      </c>
      <c r="U87" s="0" t="s">
        <v>307</v>
      </c>
      <c r="V87" s="0" t="s">
        <v>308</v>
      </c>
      <c r="W87" s="0" t="s">
        <v>231</v>
      </c>
      <c r="X87" s="0" t="s">
        <v>392</v>
      </c>
      <c r="Y87" s="0" t="n">
        <v>11.8</v>
      </c>
      <c r="Z87" s="0" t="s">
        <v>185</v>
      </c>
      <c r="AA87" s="0" t="n">
        <v>1</v>
      </c>
      <c r="AB87" s="0" t="s">
        <v>187</v>
      </c>
      <c r="AC87" s="0" t="n">
        <v>5786000</v>
      </c>
      <c r="AD87" s="0" t="n">
        <v>5786000</v>
      </c>
      <c r="AE87" s="0" t="n">
        <v>5786000</v>
      </c>
      <c r="AF87" s="0" t="n">
        <v>0.9819</v>
      </c>
      <c r="AG87" s="0" t="n">
        <v>5681000</v>
      </c>
      <c r="AH87" s="0" t="n">
        <v>5681000</v>
      </c>
      <c r="AI87" s="0" t="n">
        <v>105000</v>
      </c>
      <c r="AJ87" s="0" t="n">
        <v>5786000</v>
      </c>
      <c r="AK87" s="0" t="n">
        <v>5681000</v>
      </c>
      <c r="AL87" s="0" t="n">
        <v>5681000</v>
      </c>
      <c r="AN87" s="0" t="n">
        <v>3.076</v>
      </c>
      <c r="AO87" s="0" t="n">
        <v>5.974</v>
      </c>
      <c r="AP87" s="0" t="n">
        <v>3.636</v>
      </c>
      <c r="AQ87" s="0" t="n">
        <v>100</v>
      </c>
      <c r="AR87" s="0" t="n">
        <v>100</v>
      </c>
      <c r="AS87" s="1" t="n">
        <v>42217</v>
      </c>
      <c r="AT87" s="1" t="n">
        <v>50072</v>
      </c>
      <c r="AU87" s="1" t="n">
        <v>46295</v>
      </c>
      <c r="AV87" s="0" t="s">
        <v>393</v>
      </c>
      <c r="AW87" s="0" t="s">
        <v>249</v>
      </c>
      <c r="AX87" s="0" t="s">
        <v>187</v>
      </c>
      <c r="AY87" s="0" t="s">
        <v>394</v>
      </c>
      <c r="AZ87" s="0" t="s">
        <v>395</v>
      </c>
      <c r="BA87" s="0" t="s">
        <v>308</v>
      </c>
      <c r="BB87" s="0" t="s">
        <v>249</v>
      </c>
      <c r="BC87" s="0" t="s">
        <v>396</v>
      </c>
      <c r="BI87" s="0" t="n">
        <v>5786000</v>
      </c>
      <c r="BJ87" s="0" t="n">
        <v>5786000</v>
      </c>
      <c r="BK87" s="0" t="s">
        <v>253</v>
      </c>
      <c r="BL87" s="0" t="s">
        <v>201</v>
      </c>
      <c r="BN87" s="0" t="n">
        <v>12.9</v>
      </c>
      <c r="BO87" s="0" t="n">
        <v>10.59</v>
      </c>
      <c r="BP87" s="0" t="s">
        <v>187</v>
      </c>
      <c r="BQ87" s="0" t="s">
        <v>187</v>
      </c>
      <c r="BR87" s="0" t="s">
        <v>203</v>
      </c>
      <c r="BS87" s="0" t="s">
        <v>397</v>
      </c>
      <c r="BT87" s="0" t="s">
        <v>269</v>
      </c>
      <c r="BU87" s="0" t="s">
        <v>205</v>
      </c>
      <c r="BW87" s="0" t="s">
        <v>206</v>
      </c>
      <c r="BX87" s="0" t="s">
        <v>207</v>
      </c>
      <c r="BY87" s="0" t="n">
        <v>405</v>
      </c>
      <c r="BZ87" s="0" t="n">
        <v>405</v>
      </c>
      <c r="CC87" s="0" t="s">
        <v>289</v>
      </c>
      <c r="CD87" s="0" t="s">
        <v>289</v>
      </c>
      <c r="CE87" s="0" t="s">
        <v>211</v>
      </c>
      <c r="CF87" s="0" t="s">
        <v>211</v>
      </c>
      <c r="CG87" s="0" t="s">
        <v>211</v>
      </c>
      <c r="CH87" s="1" t="n">
        <v>46112</v>
      </c>
      <c r="CI87" s="0" t="n">
        <v>1.2</v>
      </c>
      <c r="CJ87" s="0" t="n">
        <v>2.54</v>
      </c>
      <c r="CK87" s="0" t="n">
        <v>2.67</v>
      </c>
      <c r="CL87" s="0" t="s">
        <v>212</v>
      </c>
      <c r="DA87" s="0" t="n">
        <v>0.8</v>
      </c>
      <c r="DC87" s="0" t="n">
        <v>0.85</v>
      </c>
      <c r="DD87" s="0" t="s">
        <v>213</v>
      </c>
      <c r="ED87" s="0" t="s">
        <v>213</v>
      </c>
      <c r="EE87" s="0" t="n">
        <v>1.05</v>
      </c>
      <c r="EI87" s="0" t="n">
        <v>1.19</v>
      </c>
      <c r="FQ87" s="0" t="n">
        <v>11562130</v>
      </c>
    </row>
    <row r="88" customFormat="false" ht="15" hidden="false" customHeight="false" outlineLevel="0" collapsed="false">
      <c r="B88" s="0" t="str">
        <f aca="false">C88&amp;"x"&amp;I88</f>
        <v>61026x100216</v>
      </c>
      <c r="C88" s="0" t="n">
        <f aca="false">IF(G88="SINGLE",H88,G88)</f>
        <v>61026</v>
      </c>
      <c r="D88" s="0" t="e">
        <f aca="false">_xlfn.XLOOKUP(I88,calculations!$t:$t,calculations!$s:$s)</f>
        <v>#VALUE!</v>
      </c>
      <c r="E88" s="0" t="str">
        <f aca="false">_xlfn.XLOOKUP(I88,Mapping!$T:$T,Mapping!$Q:$Q)</f>
        <v>NIMB14</v>
      </c>
      <c r="F88" s="1" t="n">
        <v>46203</v>
      </c>
      <c r="G88" s="0" t="n">
        <v>61026</v>
      </c>
      <c r="H88" s="0" t="n">
        <v>61026</v>
      </c>
      <c r="I88" s="0" t="n">
        <v>100216</v>
      </c>
      <c r="J88" s="0" t="s">
        <v>389</v>
      </c>
      <c r="K88" s="0" t="s">
        <v>398</v>
      </c>
      <c r="L88" s="0" t="s">
        <v>398</v>
      </c>
      <c r="M88" s="0" t="s">
        <v>184</v>
      </c>
      <c r="N88" s="0" t="n">
        <v>1498000</v>
      </c>
      <c r="O88" s="0" t="n">
        <v>1498000</v>
      </c>
      <c r="P88" s="0" t="s">
        <v>185</v>
      </c>
      <c r="Q88" s="0" t="s">
        <v>227</v>
      </c>
      <c r="R88" s="0" t="s">
        <v>187</v>
      </c>
      <c r="S88" s="0" t="s">
        <v>391</v>
      </c>
      <c r="T88" s="0" t="s">
        <v>189</v>
      </c>
      <c r="U88" s="0" t="s">
        <v>307</v>
      </c>
      <c r="V88" s="0" t="s">
        <v>308</v>
      </c>
      <c r="W88" s="0" t="s">
        <v>231</v>
      </c>
      <c r="X88" s="0" t="s">
        <v>392</v>
      </c>
      <c r="Y88" s="0" t="n">
        <v>11.8</v>
      </c>
      <c r="Z88" s="0" t="s">
        <v>185</v>
      </c>
      <c r="AA88" s="0" t="n">
        <v>1</v>
      </c>
      <c r="AB88" s="0" t="s">
        <v>187</v>
      </c>
      <c r="AC88" s="0" t="n">
        <v>1526000</v>
      </c>
      <c r="AD88" s="0" t="n">
        <v>1526000</v>
      </c>
      <c r="AE88" s="0" t="n">
        <v>1526000</v>
      </c>
      <c r="AF88" s="0" t="n">
        <v>0.9817</v>
      </c>
      <c r="AG88" s="0" t="n">
        <v>1498000</v>
      </c>
      <c r="AH88" s="0" t="n">
        <v>1498000</v>
      </c>
      <c r="AI88" s="0" t="n">
        <v>28000</v>
      </c>
      <c r="AJ88" s="0" t="n">
        <v>1526000</v>
      </c>
      <c r="AK88" s="0" t="n">
        <v>1498000</v>
      </c>
      <c r="AL88" s="0" t="n">
        <v>1498000</v>
      </c>
      <c r="AN88" s="0" t="n">
        <v>5.135</v>
      </c>
      <c r="AO88" s="0" t="n">
        <v>5.732</v>
      </c>
      <c r="AP88" s="0" t="n">
        <v>4.914</v>
      </c>
      <c r="AQ88" s="0" t="n">
        <v>100</v>
      </c>
      <c r="AR88" s="0" t="n">
        <v>100</v>
      </c>
      <c r="AS88" s="1" t="n">
        <v>42217</v>
      </c>
      <c r="AT88" s="1" t="n">
        <v>50072</v>
      </c>
      <c r="AU88" s="1" t="n">
        <v>46295</v>
      </c>
      <c r="AV88" s="0" t="s">
        <v>393</v>
      </c>
      <c r="AW88" s="0" t="s">
        <v>249</v>
      </c>
      <c r="AX88" s="0" t="s">
        <v>187</v>
      </c>
      <c r="AY88" s="0" t="s">
        <v>394</v>
      </c>
      <c r="AZ88" s="0" t="s">
        <v>395</v>
      </c>
      <c r="BA88" s="0" t="s">
        <v>308</v>
      </c>
      <c r="BB88" s="0" t="s">
        <v>249</v>
      </c>
      <c r="BC88" s="0" t="s">
        <v>396</v>
      </c>
      <c r="BI88" s="0" t="n">
        <v>1526000</v>
      </c>
      <c r="BJ88" s="0" t="n">
        <v>1526000</v>
      </c>
      <c r="BK88" s="0" t="s">
        <v>253</v>
      </c>
      <c r="BL88" s="0" t="s">
        <v>201</v>
      </c>
      <c r="BN88" s="0" t="n">
        <v>12.9</v>
      </c>
      <c r="BO88" s="0" t="n">
        <v>10.59</v>
      </c>
      <c r="BP88" s="0" t="s">
        <v>187</v>
      </c>
      <c r="BQ88" s="0" t="s">
        <v>187</v>
      </c>
      <c r="BR88" s="0" t="s">
        <v>203</v>
      </c>
      <c r="BS88" s="0" t="s">
        <v>397</v>
      </c>
      <c r="BT88" s="0" t="s">
        <v>269</v>
      </c>
      <c r="BU88" s="0" t="s">
        <v>220</v>
      </c>
      <c r="BW88" s="0" t="s">
        <v>206</v>
      </c>
      <c r="BX88" s="0" t="s">
        <v>207</v>
      </c>
      <c r="BY88" s="0" t="n">
        <v>405</v>
      </c>
      <c r="BZ88" s="0" t="n">
        <v>405</v>
      </c>
      <c r="CC88" s="0" t="s">
        <v>289</v>
      </c>
      <c r="CD88" s="0" t="s">
        <v>289</v>
      </c>
      <c r="CE88" s="0" t="s">
        <v>211</v>
      </c>
      <c r="CF88" s="0" t="s">
        <v>211</v>
      </c>
      <c r="CG88" s="0" t="s">
        <v>211</v>
      </c>
      <c r="CH88" s="1" t="n">
        <v>46112</v>
      </c>
      <c r="CI88" s="0" t="n">
        <v>1.2</v>
      </c>
      <c r="CJ88" s="0" t="n">
        <v>3.19</v>
      </c>
      <c r="CK88" s="0" t="n">
        <v>3.35</v>
      </c>
      <c r="CL88" s="0" t="s">
        <v>212</v>
      </c>
      <c r="DA88" s="0" t="n">
        <v>0.51</v>
      </c>
      <c r="DC88" s="0" t="n">
        <v>0.85</v>
      </c>
      <c r="DD88" s="0" t="s">
        <v>212</v>
      </c>
      <c r="ED88" s="0" t="s">
        <v>213</v>
      </c>
      <c r="EE88" s="0" t="n">
        <v>1.05</v>
      </c>
      <c r="EI88" s="0" t="n">
        <v>1.19</v>
      </c>
      <c r="FQ88" s="0" t="n">
        <v>8570468</v>
      </c>
    </row>
    <row r="89" customFormat="false" ht="15" hidden="false" customHeight="false" outlineLevel="0" collapsed="false">
      <c r="B89" s="0" t="str">
        <f aca="false">C89&amp;"x"&amp;I89</f>
        <v>61019x100216</v>
      </c>
      <c r="C89" s="0" t="n">
        <f aca="false">IF(G89="SINGLE",H89,G89)</f>
        <v>61019</v>
      </c>
      <c r="D89" s="0" t="e">
        <f aca="false">_xlfn.XLOOKUP(I89,calculations!$t:$t,calculations!$s:$s)</f>
        <v>#VALUE!</v>
      </c>
      <c r="E89" s="0" t="str">
        <f aca="false">_xlfn.XLOOKUP(I89,Mapping!$T:$T,Mapping!$Q:$Q)</f>
        <v>NIMB14</v>
      </c>
      <c r="F89" s="1" t="n">
        <v>46203</v>
      </c>
      <c r="G89" s="0" t="n">
        <v>61019</v>
      </c>
      <c r="H89" s="0" t="n">
        <v>61019</v>
      </c>
      <c r="I89" s="0" t="n">
        <v>100216</v>
      </c>
      <c r="J89" s="0" t="s">
        <v>389</v>
      </c>
      <c r="K89" s="0" t="s">
        <v>223</v>
      </c>
      <c r="L89" s="0" t="s">
        <v>223</v>
      </c>
      <c r="M89" s="0" t="s">
        <v>184</v>
      </c>
      <c r="N89" s="0" t="n">
        <v>3626000</v>
      </c>
      <c r="O89" s="0" t="n">
        <v>3626000</v>
      </c>
      <c r="P89" s="0" t="s">
        <v>185</v>
      </c>
      <c r="Q89" s="0" t="s">
        <v>227</v>
      </c>
      <c r="R89" s="0" t="s">
        <v>187</v>
      </c>
      <c r="S89" s="0" t="s">
        <v>391</v>
      </c>
      <c r="T89" s="0" t="s">
        <v>189</v>
      </c>
      <c r="U89" s="0" t="s">
        <v>307</v>
      </c>
      <c r="V89" s="0" t="s">
        <v>308</v>
      </c>
      <c r="W89" s="0" t="s">
        <v>231</v>
      </c>
      <c r="X89" s="0" t="s">
        <v>392</v>
      </c>
      <c r="Y89" s="0" t="n">
        <v>11.8</v>
      </c>
      <c r="Z89" s="0" t="s">
        <v>185</v>
      </c>
      <c r="AA89" s="0" t="n">
        <v>1</v>
      </c>
      <c r="AB89" s="0" t="s">
        <v>187</v>
      </c>
      <c r="AC89" s="0" t="n">
        <v>3693000</v>
      </c>
      <c r="AD89" s="0" t="n">
        <v>3693000</v>
      </c>
      <c r="AE89" s="0" t="n">
        <v>3693000</v>
      </c>
      <c r="AF89" s="0" t="n">
        <v>0.9819</v>
      </c>
      <c r="AG89" s="0" t="n">
        <v>3626000</v>
      </c>
      <c r="AH89" s="0" t="n">
        <v>3626000</v>
      </c>
      <c r="AI89" s="0" t="n">
        <v>67000</v>
      </c>
      <c r="AJ89" s="0" t="n">
        <v>3693000</v>
      </c>
      <c r="AK89" s="0" t="n">
        <v>3626000</v>
      </c>
      <c r="AL89" s="0" t="n">
        <v>3626000</v>
      </c>
      <c r="AN89" s="0" t="n">
        <v>6.432</v>
      </c>
      <c r="AO89" s="0" t="n">
        <v>3.126</v>
      </c>
      <c r="AP89" s="0" t="n">
        <v>3.484</v>
      </c>
      <c r="AQ89" s="0" t="n">
        <v>100</v>
      </c>
      <c r="AR89" s="0" t="n">
        <v>100</v>
      </c>
      <c r="AS89" s="1" t="n">
        <v>42217</v>
      </c>
      <c r="AT89" s="1" t="n">
        <v>50072</v>
      </c>
      <c r="AU89" s="1" t="n">
        <v>46295</v>
      </c>
      <c r="AV89" s="0" t="s">
        <v>393</v>
      </c>
      <c r="AW89" s="0" t="s">
        <v>249</v>
      </c>
      <c r="AX89" s="0" t="s">
        <v>187</v>
      </c>
      <c r="AY89" s="0" t="s">
        <v>394</v>
      </c>
      <c r="AZ89" s="0" t="s">
        <v>395</v>
      </c>
      <c r="BA89" s="0" t="s">
        <v>308</v>
      </c>
      <c r="BB89" s="0" t="s">
        <v>249</v>
      </c>
      <c r="BC89" s="0" t="s">
        <v>396</v>
      </c>
      <c r="BI89" s="0" t="n">
        <v>3693000</v>
      </c>
      <c r="BJ89" s="0" t="n">
        <v>3693000</v>
      </c>
      <c r="BK89" s="0" t="s">
        <v>253</v>
      </c>
      <c r="BL89" s="0" t="s">
        <v>201</v>
      </c>
      <c r="BN89" s="0" t="n">
        <v>12.9</v>
      </c>
      <c r="BO89" s="0" t="n">
        <v>10.59</v>
      </c>
      <c r="BP89" s="0" t="s">
        <v>187</v>
      </c>
      <c r="BQ89" s="0" t="s">
        <v>187</v>
      </c>
      <c r="BR89" s="0" t="s">
        <v>203</v>
      </c>
      <c r="BS89" s="0" t="s">
        <v>397</v>
      </c>
      <c r="BT89" s="0" t="s">
        <v>269</v>
      </c>
      <c r="BU89" s="0" t="s">
        <v>216</v>
      </c>
      <c r="BW89" s="0" t="s">
        <v>206</v>
      </c>
      <c r="BX89" s="0" t="s">
        <v>207</v>
      </c>
      <c r="BY89" s="0" t="n">
        <v>405</v>
      </c>
      <c r="BZ89" s="0" t="n">
        <v>405</v>
      </c>
      <c r="CC89" s="0" t="s">
        <v>289</v>
      </c>
      <c r="CD89" s="0" t="s">
        <v>289</v>
      </c>
      <c r="CE89" s="0" t="s">
        <v>211</v>
      </c>
      <c r="CF89" s="0" t="s">
        <v>211</v>
      </c>
      <c r="CG89" s="0" t="s">
        <v>211</v>
      </c>
      <c r="CH89" s="1" t="n">
        <v>46112</v>
      </c>
      <c r="CI89" s="0" t="n">
        <v>1.2</v>
      </c>
      <c r="CJ89" s="0" t="n">
        <v>1.53</v>
      </c>
      <c r="CK89" s="0" t="n">
        <v>1.61</v>
      </c>
      <c r="CL89" s="0" t="s">
        <v>212</v>
      </c>
      <c r="DA89" s="0" t="n">
        <v>0.59</v>
      </c>
      <c r="DC89" s="0" t="n">
        <v>0.85</v>
      </c>
      <c r="DD89" s="0" t="s">
        <v>212</v>
      </c>
      <c r="ED89" s="0" t="s">
        <v>212</v>
      </c>
      <c r="EE89" s="0" t="n">
        <v>1.05</v>
      </c>
      <c r="EI89" s="0" t="n">
        <v>1.45</v>
      </c>
      <c r="FQ89" s="0" t="n">
        <v>10553719</v>
      </c>
    </row>
    <row r="90" customFormat="false" ht="15" hidden="false" customHeight="false" outlineLevel="0" collapsed="false">
      <c r="B90" s="0" t="str">
        <f aca="false">C90&amp;"x"&amp;I90</f>
        <v>61014x100217</v>
      </c>
      <c r="C90" s="0" t="n">
        <f aca="false">IF(G90="SINGLE",H90,G90)</f>
        <v>61014</v>
      </c>
      <c r="D90" s="0" t="e">
        <f aca="false">_xlfn.XLOOKUP(I90,calculations!$t:$t,calculations!$s:$s)</f>
        <v>#VALUE!</v>
      </c>
      <c r="E90" s="0" t="str">
        <f aca="false">_xlfn.XLOOKUP(I90,Mapping!$T:$T,Mapping!$Q:$Q)</f>
        <v>ORIO15</v>
      </c>
      <c r="F90" s="1" t="n">
        <v>46203</v>
      </c>
      <c r="G90" s="0" t="n">
        <v>61014</v>
      </c>
      <c r="H90" s="0" t="n">
        <v>61014</v>
      </c>
      <c r="I90" s="0" t="n">
        <v>100217</v>
      </c>
      <c r="J90" s="0" t="s">
        <v>399</v>
      </c>
      <c r="K90" s="0" t="s">
        <v>241</v>
      </c>
      <c r="L90" s="0" t="s">
        <v>241</v>
      </c>
      <c r="M90" s="0" t="s">
        <v>184</v>
      </c>
      <c r="N90" s="0" t="n">
        <v>14679000</v>
      </c>
      <c r="O90" s="0" t="n">
        <v>14679000</v>
      </c>
      <c r="P90" s="0" t="s">
        <v>185</v>
      </c>
      <c r="Q90" s="0" t="s">
        <v>227</v>
      </c>
      <c r="R90" s="0" t="s">
        <v>202</v>
      </c>
      <c r="S90" s="0" t="s">
        <v>400</v>
      </c>
      <c r="T90" s="0" t="s">
        <v>189</v>
      </c>
      <c r="U90" s="0" t="s">
        <v>401</v>
      </c>
      <c r="V90" s="0" t="s">
        <v>402</v>
      </c>
      <c r="W90" s="0" t="s">
        <v>336</v>
      </c>
      <c r="X90" s="0" t="s">
        <v>403</v>
      </c>
      <c r="Y90" s="0" t="n">
        <v>6.2</v>
      </c>
      <c r="Z90" s="0" t="s">
        <v>185</v>
      </c>
      <c r="AA90" s="0" t="n">
        <v>1</v>
      </c>
      <c r="AB90" s="0" t="s">
        <v>187</v>
      </c>
      <c r="AC90" s="0" t="n">
        <v>16151000</v>
      </c>
      <c r="AD90" s="0" t="n">
        <v>16151000</v>
      </c>
      <c r="AE90" s="0" t="n">
        <v>16151000</v>
      </c>
      <c r="AF90" s="0" t="n">
        <v>0.9089</v>
      </c>
      <c r="AG90" s="0" t="n">
        <v>14679000</v>
      </c>
      <c r="AH90" s="0" t="n">
        <v>14679000</v>
      </c>
      <c r="AI90" s="0" t="n">
        <v>1472000</v>
      </c>
      <c r="AJ90" s="0" t="n">
        <v>16151000</v>
      </c>
      <c r="AK90" s="0" t="n">
        <v>14679000</v>
      </c>
      <c r="AL90" s="0" t="n">
        <v>14679000</v>
      </c>
      <c r="AN90" s="0" t="n">
        <v>4.442</v>
      </c>
      <c r="AO90" s="0" t="n">
        <v>5.795</v>
      </c>
      <c r="AP90" s="0" t="n">
        <v>4.03</v>
      </c>
      <c r="AQ90" s="0" t="n">
        <v>100</v>
      </c>
      <c r="AR90" s="0" t="n">
        <v>100</v>
      </c>
      <c r="AS90" s="1" t="n">
        <v>44221</v>
      </c>
      <c r="AT90" s="1" t="n">
        <v>48785</v>
      </c>
      <c r="AU90" s="1" t="n">
        <v>46295</v>
      </c>
      <c r="AV90" s="0" t="s">
        <v>404</v>
      </c>
      <c r="AW90" s="0" t="s">
        <v>327</v>
      </c>
      <c r="AX90" s="0" t="s">
        <v>187</v>
      </c>
      <c r="AY90" s="0" t="s">
        <v>405</v>
      </c>
      <c r="AZ90" s="0" t="s">
        <v>406</v>
      </c>
      <c r="BA90" s="0" t="s">
        <v>402</v>
      </c>
      <c r="BB90" s="0" t="s">
        <v>327</v>
      </c>
      <c r="BC90" s="0" t="s">
        <v>407</v>
      </c>
      <c r="BI90" s="0" t="n">
        <v>16151000</v>
      </c>
      <c r="BJ90" s="0" t="n">
        <v>16151000</v>
      </c>
      <c r="BK90" s="0" t="s">
        <v>253</v>
      </c>
      <c r="BL90" s="0" t="s">
        <v>201</v>
      </c>
      <c r="BN90" s="0" t="n">
        <v>7.5</v>
      </c>
      <c r="BO90" s="0" t="n">
        <v>7.07</v>
      </c>
      <c r="BP90" s="0" t="s">
        <v>187</v>
      </c>
      <c r="BQ90" s="0" t="s">
        <v>187</v>
      </c>
      <c r="BR90" s="0" t="s">
        <v>203</v>
      </c>
      <c r="BS90" s="0" t="s">
        <v>408</v>
      </c>
      <c r="BT90" s="0" t="s">
        <v>224</v>
      </c>
      <c r="BU90" s="0" t="s">
        <v>216</v>
      </c>
      <c r="BW90" s="0" t="s">
        <v>206</v>
      </c>
      <c r="BX90" s="0" t="s">
        <v>207</v>
      </c>
      <c r="BY90" s="0" t="n">
        <v>365</v>
      </c>
      <c r="BZ90" s="0" t="n">
        <v>365</v>
      </c>
      <c r="CC90" s="0" t="s">
        <v>239</v>
      </c>
      <c r="CD90" s="0" t="s">
        <v>239</v>
      </c>
      <c r="CE90" s="0" t="s">
        <v>409</v>
      </c>
      <c r="CF90" s="0" t="s">
        <v>409</v>
      </c>
      <c r="CG90" s="0" t="s">
        <v>211</v>
      </c>
      <c r="CH90" s="1" t="n">
        <v>46112</v>
      </c>
      <c r="CI90" s="0" t="n">
        <v>1.2</v>
      </c>
      <c r="CJ90" s="0" t="n">
        <v>1.37</v>
      </c>
      <c r="CK90" s="0" t="n">
        <v>1.44</v>
      </c>
      <c r="CL90" s="0" t="s">
        <v>212</v>
      </c>
      <c r="DA90" s="0" t="n">
        <v>0.64</v>
      </c>
      <c r="DC90" s="0" t="n">
        <v>0.85</v>
      </c>
      <c r="DD90" s="0" t="s">
        <v>212</v>
      </c>
      <c r="ED90" s="0" t="s">
        <v>212</v>
      </c>
      <c r="EE90" s="0" t="n">
        <v>1.05</v>
      </c>
      <c r="EI90" s="0" t="n">
        <v>1.57</v>
      </c>
      <c r="FQ90" s="0" t="n">
        <v>30149770</v>
      </c>
    </row>
    <row r="91" customFormat="false" ht="15" hidden="false" customHeight="false" outlineLevel="0" collapsed="false">
      <c r="B91" s="0" t="str">
        <f aca="false">C91&amp;"x"&amp;I91</f>
        <v>61024x100217</v>
      </c>
      <c r="C91" s="0" t="n">
        <f aca="false">IF(G91="SINGLE",H91,G91)</f>
        <v>61024</v>
      </c>
      <c r="D91" s="0" t="e">
        <f aca="false">_xlfn.XLOOKUP(I91,calculations!$t:$t,calculations!$s:$s)</f>
        <v>#VALUE!</v>
      </c>
      <c r="E91" s="0" t="str">
        <f aca="false">_xlfn.XLOOKUP(I91,Mapping!$T:$T,Mapping!$Q:$Q)</f>
        <v>ORIO15</v>
      </c>
      <c r="F91" s="1" t="n">
        <v>46203</v>
      </c>
      <c r="G91" s="0" t="n">
        <v>61024</v>
      </c>
      <c r="H91" s="0" t="n">
        <v>61024</v>
      </c>
      <c r="I91" s="0" t="n">
        <v>100217</v>
      </c>
      <c r="J91" s="0" t="s">
        <v>399</v>
      </c>
      <c r="K91" s="0" t="s">
        <v>183</v>
      </c>
      <c r="L91" s="0" t="s">
        <v>183</v>
      </c>
      <c r="M91" s="0" t="s">
        <v>184</v>
      </c>
      <c r="N91" s="0" t="n">
        <v>12025000</v>
      </c>
      <c r="O91" s="0" t="n">
        <v>12025000</v>
      </c>
      <c r="P91" s="0" t="s">
        <v>185</v>
      </c>
      <c r="Q91" s="0" t="s">
        <v>227</v>
      </c>
      <c r="R91" s="0" t="s">
        <v>202</v>
      </c>
      <c r="S91" s="0" t="s">
        <v>400</v>
      </c>
      <c r="T91" s="0" t="s">
        <v>189</v>
      </c>
      <c r="U91" s="0" t="s">
        <v>401</v>
      </c>
      <c r="V91" s="0" t="s">
        <v>402</v>
      </c>
      <c r="W91" s="0" t="s">
        <v>336</v>
      </c>
      <c r="X91" s="0" t="s">
        <v>403</v>
      </c>
      <c r="Y91" s="0" t="n">
        <v>6.2</v>
      </c>
      <c r="Z91" s="0" t="s">
        <v>185</v>
      </c>
      <c r="AA91" s="0" t="n">
        <v>1</v>
      </c>
      <c r="AB91" s="0" t="s">
        <v>187</v>
      </c>
      <c r="AC91" s="0" t="n">
        <v>13231000</v>
      </c>
      <c r="AD91" s="0" t="n">
        <v>13231000</v>
      </c>
      <c r="AE91" s="0" t="n">
        <v>13231000</v>
      </c>
      <c r="AF91" s="0" t="n">
        <v>0.9089</v>
      </c>
      <c r="AG91" s="0" t="n">
        <v>12025000</v>
      </c>
      <c r="AH91" s="0" t="n">
        <v>12025000</v>
      </c>
      <c r="AI91" s="0" t="n">
        <v>1206000</v>
      </c>
      <c r="AJ91" s="0" t="n">
        <v>13231000</v>
      </c>
      <c r="AK91" s="0" t="n">
        <v>12025000</v>
      </c>
      <c r="AL91" s="0" t="n">
        <v>12025000</v>
      </c>
      <c r="AN91" s="0" t="n">
        <v>2.639</v>
      </c>
      <c r="AO91" s="0" t="n">
        <v>4.983</v>
      </c>
      <c r="AP91" s="0" t="n">
        <v>3.343</v>
      </c>
      <c r="AQ91" s="0" t="n">
        <v>100</v>
      </c>
      <c r="AR91" s="0" t="n">
        <v>100</v>
      </c>
      <c r="AS91" s="1" t="n">
        <v>44221</v>
      </c>
      <c r="AT91" s="1" t="n">
        <v>48785</v>
      </c>
      <c r="AU91" s="1" t="n">
        <v>46295</v>
      </c>
      <c r="AV91" s="0" t="s">
        <v>404</v>
      </c>
      <c r="AW91" s="0" t="s">
        <v>327</v>
      </c>
      <c r="AX91" s="0" t="s">
        <v>187</v>
      </c>
      <c r="AY91" s="0" t="s">
        <v>405</v>
      </c>
      <c r="AZ91" s="0" t="s">
        <v>406</v>
      </c>
      <c r="BA91" s="0" t="s">
        <v>402</v>
      </c>
      <c r="BB91" s="0" t="s">
        <v>327</v>
      </c>
      <c r="BC91" s="0" t="s">
        <v>407</v>
      </c>
      <c r="BI91" s="0" t="n">
        <v>13231000</v>
      </c>
      <c r="BJ91" s="0" t="n">
        <v>13231000</v>
      </c>
      <c r="BK91" s="0" t="s">
        <v>253</v>
      </c>
      <c r="BL91" s="0" t="s">
        <v>201</v>
      </c>
      <c r="BN91" s="0" t="n">
        <v>7.5</v>
      </c>
      <c r="BO91" s="0" t="n">
        <v>7.07</v>
      </c>
      <c r="BP91" s="0" t="s">
        <v>187</v>
      </c>
      <c r="BQ91" s="0" t="s">
        <v>187</v>
      </c>
      <c r="BR91" s="0" t="s">
        <v>203</v>
      </c>
      <c r="BS91" s="0" t="s">
        <v>408</v>
      </c>
      <c r="BT91" s="0" t="s">
        <v>224</v>
      </c>
      <c r="BU91" s="0" t="s">
        <v>269</v>
      </c>
      <c r="BW91" s="0" t="s">
        <v>257</v>
      </c>
      <c r="BX91" s="0" t="s">
        <v>217</v>
      </c>
      <c r="BY91" s="0" t="n">
        <v>365</v>
      </c>
      <c r="BZ91" s="0" t="n">
        <v>365</v>
      </c>
      <c r="CC91" s="0" t="s">
        <v>239</v>
      </c>
      <c r="CD91" s="0" t="s">
        <v>239</v>
      </c>
      <c r="CE91" s="0" t="s">
        <v>409</v>
      </c>
      <c r="CF91" s="0" t="s">
        <v>409</v>
      </c>
      <c r="CG91" s="0" t="s">
        <v>211</v>
      </c>
      <c r="CH91" s="1" t="n">
        <v>46112</v>
      </c>
      <c r="CI91" s="0" t="n">
        <v>1.2</v>
      </c>
      <c r="CJ91" s="0" t="n">
        <v>2.28</v>
      </c>
      <c r="CK91" s="0" t="n">
        <v>2.39</v>
      </c>
      <c r="CL91" s="0" t="s">
        <v>212</v>
      </c>
      <c r="DA91" s="0" t="n">
        <v>0.77</v>
      </c>
      <c r="DC91" s="0" t="n">
        <v>0.85</v>
      </c>
      <c r="DD91" s="0" t="s">
        <v>212</v>
      </c>
      <c r="ED91" s="0" t="s">
        <v>212</v>
      </c>
      <c r="EE91" s="0" t="n">
        <v>1.05</v>
      </c>
      <c r="EI91" s="0" t="n">
        <v>1.62</v>
      </c>
      <c r="FQ91" s="0" t="n">
        <v>19713554</v>
      </c>
    </row>
    <row r="92" customFormat="false" ht="15" hidden="false" customHeight="false" outlineLevel="0" collapsed="false">
      <c r="B92" s="0" t="str">
        <f aca="false">C92&amp;"x"&amp;I92</f>
        <v>61016x100217</v>
      </c>
      <c r="C92" s="0" t="n">
        <f aca="false">IF(G92="SINGLE",H92,G92)</f>
        <v>61016</v>
      </c>
      <c r="D92" s="0" t="e">
        <f aca="false">_xlfn.XLOOKUP(I92,calculations!$t:$t,calculations!$s:$s)</f>
        <v>#VALUE!</v>
      </c>
      <c r="E92" s="0" t="str">
        <f aca="false">_xlfn.XLOOKUP(I92,Mapping!$T:$T,Mapping!$Q:$Q)</f>
        <v>ORIO15</v>
      </c>
      <c r="F92" s="1" t="n">
        <v>46203</v>
      </c>
      <c r="G92" s="0" t="n">
        <v>61016</v>
      </c>
      <c r="H92" s="0" t="n">
        <v>61016</v>
      </c>
      <c r="I92" s="0" t="n">
        <v>100217</v>
      </c>
      <c r="J92" s="0" t="s">
        <v>399</v>
      </c>
      <c r="K92" s="0" t="s">
        <v>343</v>
      </c>
      <c r="L92" s="0" t="s">
        <v>343</v>
      </c>
      <c r="M92" s="0" t="s">
        <v>184</v>
      </c>
      <c r="N92" s="0" t="n">
        <v>7082000</v>
      </c>
      <c r="O92" s="0" t="n">
        <v>7082000</v>
      </c>
      <c r="P92" s="0" t="s">
        <v>185</v>
      </c>
      <c r="Q92" s="0" t="s">
        <v>227</v>
      </c>
      <c r="R92" s="0" t="s">
        <v>202</v>
      </c>
      <c r="S92" s="0" t="s">
        <v>400</v>
      </c>
      <c r="T92" s="0" t="s">
        <v>189</v>
      </c>
      <c r="U92" s="0" t="s">
        <v>401</v>
      </c>
      <c r="V92" s="0" t="s">
        <v>402</v>
      </c>
      <c r="W92" s="0" t="s">
        <v>336</v>
      </c>
      <c r="X92" s="0" t="s">
        <v>403</v>
      </c>
      <c r="Y92" s="0" t="n">
        <v>6.2</v>
      </c>
      <c r="Z92" s="0" t="s">
        <v>185</v>
      </c>
      <c r="AA92" s="0" t="n">
        <v>1</v>
      </c>
      <c r="AB92" s="0" t="s">
        <v>187</v>
      </c>
      <c r="AC92" s="0" t="n">
        <v>7792000</v>
      </c>
      <c r="AD92" s="0" t="n">
        <v>7792000</v>
      </c>
      <c r="AE92" s="0" t="n">
        <v>7792000</v>
      </c>
      <c r="AF92" s="0" t="n">
        <v>0.9089</v>
      </c>
      <c r="AG92" s="0" t="n">
        <v>7082000</v>
      </c>
      <c r="AH92" s="0" t="n">
        <v>7082000</v>
      </c>
      <c r="AI92" s="0" t="n">
        <v>710000</v>
      </c>
      <c r="AJ92" s="0" t="n">
        <v>7792000</v>
      </c>
      <c r="AK92" s="0" t="n">
        <v>7082000</v>
      </c>
      <c r="AL92" s="0" t="n">
        <v>7082000</v>
      </c>
      <c r="AN92" s="0" t="n">
        <v>4.046</v>
      </c>
      <c r="AO92" s="0" t="n">
        <v>3.086</v>
      </c>
      <c r="AP92" s="0" t="n">
        <v>2.621</v>
      </c>
      <c r="AQ92" s="0" t="n">
        <v>100</v>
      </c>
      <c r="AR92" s="0" t="n">
        <v>100</v>
      </c>
      <c r="AS92" s="1" t="n">
        <v>44221</v>
      </c>
      <c r="AT92" s="1" t="n">
        <v>48785</v>
      </c>
      <c r="AU92" s="1" t="n">
        <v>46295</v>
      </c>
      <c r="AV92" s="0" t="s">
        <v>404</v>
      </c>
      <c r="AW92" s="0" t="s">
        <v>327</v>
      </c>
      <c r="AX92" s="0" t="s">
        <v>187</v>
      </c>
      <c r="AY92" s="0" t="s">
        <v>405</v>
      </c>
      <c r="AZ92" s="0" t="s">
        <v>406</v>
      </c>
      <c r="BA92" s="0" t="s">
        <v>402</v>
      </c>
      <c r="BB92" s="0" t="s">
        <v>327</v>
      </c>
      <c r="BC92" s="0" t="s">
        <v>407</v>
      </c>
      <c r="BI92" s="0" t="n">
        <v>7792000</v>
      </c>
      <c r="BJ92" s="0" t="n">
        <v>7792000</v>
      </c>
      <c r="BK92" s="0" t="s">
        <v>253</v>
      </c>
      <c r="BL92" s="0" t="s">
        <v>201</v>
      </c>
      <c r="BN92" s="0" t="n">
        <v>7.5</v>
      </c>
      <c r="BO92" s="0" t="n">
        <v>7.07</v>
      </c>
      <c r="BP92" s="0" t="s">
        <v>187</v>
      </c>
      <c r="BQ92" s="0" t="s">
        <v>187</v>
      </c>
      <c r="BR92" s="0" t="s">
        <v>203</v>
      </c>
      <c r="BS92" s="0" t="s">
        <v>408</v>
      </c>
      <c r="BT92" s="0" t="s">
        <v>224</v>
      </c>
      <c r="BU92" s="0" t="s">
        <v>255</v>
      </c>
      <c r="BW92" s="0" t="s">
        <v>257</v>
      </c>
      <c r="BX92" s="0" t="s">
        <v>217</v>
      </c>
      <c r="BY92" s="0" t="n">
        <v>365</v>
      </c>
      <c r="BZ92" s="0" t="n">
        <v>365</v>
      </c>
      <c r="CC92" s="0" t="s">
        <v>239</v>
      </c>
      <c r="CD92" s="0" t="s">
        <v>239</v>
      </c>
      <c r="CE92" s="0" t="s">
        <v>409</v>
      </c>
      <c r="CF92" s="0" t="s">
        <v>409</v>
      </c>
      <c r="CG92" s="0" t="s">
        <v>211</v>
      </c>
      <c r="CH92" s="1" t="n">
        <v>46112</v>
      </c>
      <c r="CI92" s="0" t="n">
        <v>1.2</v>
      </c>
      <c r="CJ92" s="0" t="n">
        <v>3.3</v>
      </c>
      <c r="CK92" s="0" t="n">
        <v>3.46</v>
      </c>
      <c r="CL92" s="0" t="s">
        <v>212</v>
      </c>
      <c r="DA92" s="0" t="n">
        <v>0.48</v>
      </c>
      <c r="DC92" s="0" t="n">
        <v>0.85</v>
      </c>
      <c r="DD92" s="0" t="s">
        <v>212</v>
      </c>
      <c r="ED92" s="0" t="s">
        <v>212</v>
      </c>
      <c r="EE92" s="0" t="n">
        <v>1.05</v>
      </c>
      <c r="EI92" s="0" t="n">
        <v>1.57</v>
      </c>
      <c r="FQ92" s="0" t="n">
        <v>20266650</v>
      </c>
    </row>
    <row r="93" customFormat="false" ht="15" hidden="false" customHeight="false" outlineLevel="0" collapsed="false">
      <c r="B93" s="0" t="str">
        <f aca="false">C93&amp;"x"&amp;I93</f>
        <v>61009x100217</v>
      </c>
      <c r="C93" s="0" t="n">
        <f aca="false">IF(G93="SINGLE",H93,G93)</f>
        <v>61009</v>
      </c>
      <c r="D93" s="0" t="e">
        <f aca="false">_xlfn.XLOOKUP(I93,calculations!$t:$t,calculations!$s:$s)</f>
        <v>#VALUE!</v>
      </c>
      <c r="E93" s="0" t="str">
        <f aca="false">_xlfn.XLOOKUP(I93,Mapping!$T:$T,Mapping!$Q:$Q)</f>
        <v>ORIO15</v>
      </c>
      <c r="F93" s="1" t="n">
        <v>46203</v>
      </c>
      <c r="G93" s="0" t="n">
        <v>61009</v>
      </c>
      <c r="H93" s="0" t="n">
        <v>61009</v>
      </c>
      <c r="I93" s="0" t="n">
        <v>100217</v>
      </c>
      <c r="J93" s="0" t="s">
        <v>399</v>
      </c>
      <c r="K93" s="0" t="s">
        <v>243</v>
      </c>
      <c r="L93" s="0" t="s">
        <v>243</v>
      </c>
      <c r="M93" s="0" t="s">
        <v>184</v>
      </c>
      <c r="N93" s="0" t="n">
        <v>7412000</v>
      </c>
      <c r="O93" s="0" t="n">
        <v>7412000</v>
      </c>
      <c r="P93" s="0" t="s">
        <v>244</v>
      </c>
      <c r="Q93" s="0" t="s">
        <v>227</v>
      </c>
      <c r="R93" s="0" t="s">
        <v>202</v>
      </c>
      <c r="S93" s="0" t="s">
        <v>400</v>
      </c>
      <c r="T93" s="0" t="s">
        <v>189</v>
      </c>
      <c r="U93" s="0" t="s">
        <v>401</v>
      </c>
      <c r="V93" s="0" t="s">
        <v>402</v>
      </c>
      <c r="W93" s="0" t="s">
        <v>336</v>
      </c>
      <c r="X93" s="0" t="s">
        <v>403</v>
      </c>
      <c r="Y93" s="0" t="n">
        <v>6.2</v>
      </c>
      <c r="Z93" s="0" t="s">
        <v>185</v>
      </c>
      <c r="AA93" s="0" t="n">
        <v>1</v>
      </c>
      <c r="AB93" s="0" t="s">
        <v>187</v>
      </c>
      <c r="AC93" s="0" t="n">
        <v>8156000</v>
      </c>
      <c r="AD93" s="0" t="n">
        <v>8156000</v>
      </c>
      <c r="AE93" s="0" t="n">
        <v>8156000</v>
      </c>
      <c r="AF93" s="0" t="n">
        <v>0.9088</v>
      </c>
      <c r="AG93" s="0" t="n">
        <v>7412000</v>
      </c>
      <c r="AH93" s="0" t="n">
        <v>7412000</v>
      </c>
      <c r="AI93" s="0" t="n">
        <v>744000</v>
      </c>
      <c r="AJ93" s="0" t="n">
        <v>8156000</v>
      </c>
      <c r="AK93" s="0" t="n">
        <v>7412000</v>
      </c>
      <c r="AL93" s="0" t="n">
        <v>7412000</v>
      </c>
      <c r="AN93" s="0" t="n">
        <v>4.286</v>
      </c>
      <c r="AO93" s="0" t="n">
        <v>3.914</v>
      </c>
      <c r="AP93" s="0" t="n">
        <v>3.625</v>
      </c>
      <c r="AQ93" s="0" t="n">
        <v>100</v>
      </c>
      <c r="AR93" s="0" t="n">
        <v>100</v>
      </c>
      <c r="AS93" s="1" t="n">
        <v>44221</v>
      </c>
      <c r="AT93" s="1" t="n">
        <v>48785</v>
      </c>
      <c r="AU93" s="1" t="n">
        <v>46295</v>
      </c>
      <c r="AV93" s="0" t="s">
        <v>404</v>
      </c>
      <c r="AW93" s="0" t="s">
        <v>327</v>
      </c>
      <c r="AX93" s="0" t="s">
        <v>187</v>
      </c>
      <c r="AY93" s="0" t="s">
        <v>405</v>
      </c>
      <c r="AZ93" s="0" t="s">
        <v>406</v>
      </c>
      <c r="BA93" s="0" t="s">
        <v>402</v>
      </c>
      <c r="BB93" s="0" t="s">
        <v>327</v>
      </c>
      <c r="BC93" s="0" t="s">
        <v>407</v>
      </c>
      <c r="BI93" s="0" t="n">
        <v>8156000</v>
      </c>
      <c r="BJ93" s="0" t="n">
        <v>8156000</v>
      </c>
      <c r="BK93" s="0" t="s">
        <v>253</v>
      </c>
      <c r="BL93" s="0" t="s">
        <v>201</v>
      </c>
      <c r="BN93" s="0" t="n">
        <v>7.5</v>
      </c>
      <c r="BO93" s="0" t="n">
        <v>7.07</v>
      </c>
      <c r="BP93" s="0" t="s">
        <v>187</v>
      </c>
      <c r="BQ93" s="0" t="s">
        <v>187</v>
      </c>
      <c r="BR93" s="0" t="s">
        <v>203</v>
      </c>
      <c r="BS93" s="0" t="s">
        <v>408</v>
      </c>
      <c r="BT93" s="0" t="s">
        <v>224</v>
      </c>
      <c r="BU93" s="0" t="s">
        <v>220</v>
      </c>
      <c r="BW93" s="0" t="s">
        <v>206</v>
      </c>
      <c r="BX93" s="0" t="s">
        <v>207</v>
      </c>
      <c r="BY93" s="0" t="n">
        <v>365</v>
      </c>
      <c r="BZ93" s="0" t="n">
        <v>365</v>
      </c>
      <c r="CC93" s="0" t="s">
        <v>239</v>
      </c>
      <c r="CD93" s="0" t="s">
        <v>239</v>
      </c>
      <c r="CE93" s="0" t="s">
        <v>409</v>
      </c>
      <c r="CF93" s="0" t="s">
        <v>409</v>
      </c>
      <c r="CG93" s="0" t="s">
        <v>211</v>
      </c>
      <c r="CH93" s="1" t="n">
        <v>46112</v>
      </c>
      <c r="CI93" s="0" t="n">
        <v>1.2</v>
      </c>
      <c r="CJ93" s="0" t="n">
        <v>2.65</v>
      </c>
      <c r="CK93" s="0" t="n">
        <v>2.78</v>
      </c>
      <c r="CL93" s="0" t="s">
        <v>212</v>
      </c>
      <c r="DA93" s="0" t="n">
        <v>0.63</v>
      </c>
      <c r="DC93" s="0" t="n">
        <v>0.85</v>
      </c>
      <c r="DD93" s="0" t="s">
        <v>212</v>
      </c>
      <c r="ED93" s="0" t="s">
        <v>212</v>
      </c>
      <c r="EE93" s="0" t="n">
        <v>1.05</v>
      </c>
      <c r="EI93" s="0" t="n">
        <v>1.39</v>
      </c>
      <c r="FQ93" s="0" t="n">
        <v>29188454</v>
      </c>
    </row>
    <row r="94" customFormat="false" ht="15" hidden="false" customHeight="false" outlineLevel="0" collapsed="false">
      <c r="B94" s="0" t="str">
        <f aca="false">C94&amp;"x"&amp;I94</f>
        <v>61008x100218</v>
      </c>
      <c r="C94" s="0" t="n">
        <f aca="false">IF(G94="SINGLE",H94,G94)</f>
        <v>61008</v>
      </c>
      <c r="D94" s="0" t="e">
        <f aca="false">_xlfn.XLOOKUP(I94,calculations!$t:$t,calculations!$s:$s)</f>
        <v>#VALUE!</v>
      </c>
      <c r="E94" s="0" t="str">
        <f aca="false">_xlfn.XLOOKUP(I94,Mapping!$T:$T,Mapping!$Q:$Q)</f>
        <v>PION16</v>
      </c>
      <c r="F94" s="1" t="n">
        <v>46203</v>
      </c>
      <c r="G94" s="0" t="n">
        <v>61008</v>
      </c>
      <c r="H94" s="0" t="n">
        <v>61008</v>
      </c>
      <c r="I94" s="0" t="n">
        <v>100218</v>
      </c>
      <c r="J94" s="0" t="s">
        <v>410</v>
      </c>
      <c r="K94" s="0" t="s">
        <v>277</v>
      </c>
      <c r="L94" s="0" t="s">
        <v>277</v>
      </c>
      <c r="M94" s="0" t="s">
        <v>184</v>
      </c>
      <c r="N94" s="0" t="n">
        <v>26924000</v>
      </c>
      <c r="O94" s="0" t="n">
        <v>28045833.33</v>
      </c>
      <c r="P94" s="0" t="s">
        <v>185</v>
      </c>
      <c r="Q94" s="0" t="s">
        <v>227</v>
      </c>
      <c r="R94" s="0" t="s">
        <v>187</v>
      </c>
      <c r="S94" s="0" t="s">
        <v>411</v>
      </c>
      <c r="T94" s="0" t="s">
        <v>189</v>
      </c>
      <c r="U94" s="0" t="s">
        <v>412</v>
      </c>
      <c r="V94" s="0" t="s">
        <v>413</v>
      </c>
      <c r="W94" s="0" t="s">
        <v>347</v>
      </c>
      <c r="X94" s="0" t="s">
        <v>414</v>
      </c>
      <c r="Y94" s="0" t="n">
        <v>9.4</v>
      </c>
      <c r="Z94" s="0" t="s">
        <v>415</v>
      </c>
      <c r="AA94" s="0" t="n">
        <v>0.96</v>
      </c>
      <c r="AB94" s="0" t="s">
        <v>202</v>
      </c>
      <c r="AC94" s="0" t="n">
        <v>29480000</v>
      </c>
      <c r="AD94" s="0" t="n">
        <v>29480000</v>
      </c>
      <c r="AE94" s="0" t="n">
        <v>30708333.33</v>
      </c>
      <c r="AF94" s="0" t="n">
        <v>0.9133</v>
      </c>
      <c r="AG94" s="0" t="n">
        <v>26924000</v>
      </c>
      <c r="AH94" s="0" t="n">
        <v>26924000</v>
      </c>
      <c r="AI94" s="0" t="n">
        <v>2556000</v>
      </c>
      <c r="AJ94" s="0" t="n">
        <v>29480000</v>
      </c>
      <c r="AK94" s="0" t="n">
        <v>26924000</v>
      </c>
      <c r="AL94" s="0" t="n">
        <v>26924000</v>
      </c>
      <c r="AM94" s="0" t="s">
        <v>194</v>
      </c>
      <c r="AN94" s="0" t="n">
        <v>4.958</v>
      </c>
      <c r="AO94" s="0" t="n">
        <v>4.225</v>
      </c>
      <c r="AP94" s="0" t="n">
        <v>6.049</v>
      </c>
      <c r="AQ94" s="0" t="n">
        <v>100</v>
      </c>
      <c r="AR94" s="0" t="n">
        <v>100</v>
      </c>
      <c r="AS94" s="1" t="n">
        <v>42161</v>
      </c>
      <c r="AT94" s="1" t="n">
        <v>47093</v>
      </c>
      <c r="AU94" s="1" t="n">
        <v>46295</v>
      </c>
      <c r="AV94" s="0" t="s">
        <v>416</v>
      </c>
      <c r="AW94" s="0" t="s">
        <v>249</v>
      </c>
      <c r="AX94" s="0" t="s">
        <v>187</v>
      </c>
      <c r="AY94" s="0" t="s">
        <v>417</v>
      </c>
      <c r="AZ94" s="0" t="s">
        <v>418</v>
      </c>
      <c r="BA94" s="0" t="s">
        <v>413</v>
      </c>
      <c r="BB94" s="0" t="s">
        <v>249</v>
      </c>
      <c r="BC94" s="0" t="s">
        <v>419</v>
      </c>
      <c r="BI94" s="0" t="n">
        <v>29480000</v>
      </c>
      <c r="BJ94" s="0" t="n">
        <v>30708333.33</v>
      </c>
      <c r="BK94" s="0" t="s">
        <v>200</v>
      </c>
      <c r="BL94" s="0" t="s">
        <v>201</v>
      </c>
      <c r="BN94" s="0" t="n">
        <v>8.1</v>
      </c>
      <c r="BO94" s="0" t="n">
        <v>2.44</v>
      </c>
      <c r="BP94" s="0" t="s">
        <v>202</v>
      </c>
      <c r="BQ94" s="0" t="s">
        <v>187</v>
      </c>
      <c r="BR94" s="0" t="s">
        <v>203</v>
      </c>
      <c r="BS94" s="0" t="s">
        <v>420</v>
      </c>
      <c r="BT94" s="0" t="s">
        <v>224</v>
      </c>
      <c r="BU94" s="0" t="s">
        <v>269</v>
      </c>
      <c r="BW94" s="0" t="s">
        <v>257</v>
      </c>
      <c r="BX94" s="0" t="s">
        <v>207</v>
      </c>
      <c r="BY94" s="0" t="n">
        <v>345</v>
      </c>
      <c r="BZ94" s="0" t="n">
        <v>345</v>
      </c>
      <c r="CB94" s="0" t="s">
        <v>208</v>
      </c>
      <c r="CC94" s="0" t="s">
        <v>354</v>
      </c>
      <c r="CD94" s="0" t="s">
        <v>354</v>
      </c>
      <c r="CE94" s="0" t="s">
        <v>211</v>
      </c>
      <c r="CF94" s="0" t="s">
        <v>289</v>
      </c>
      <c r="CG94" s="0" t="s">
        <v>211</v>
      </c>
      <c r="CH94" s="1" t="n">
        <v>46112</v>
      </c>
      <c r="CI94" s="0" t="n">
        <v>1.2</v>
      </c>
      <c r="CJ94" s="0" t="n">
        <v>1.62</v>
      </c>
      <c r="CK94" s="0" t="n">
        <v>1.7</v>
      </c>
      <c r="CL94" s="0" t="s">
        <v>212</v>
      </c>
      <c r="DA94" s="0" t="n">
        <v>0.51</v>
      </c>
      <c r="DC94" s="0" t="n">
        <v>0.85</v>
      </c>
      <c r="DD94" s="0" t="s">
        <v>212</v>
      </c>
      <c r="ED94" s="0" t="s">
        <v>212</v>
      </c>
      <c r="EE94" s="0" t="n">
        <v>1.05</v>
      </c>
      <c r="EI94" s="0" t="n">
        <v>1.8</v>
      </c>
      <c r="FQ94" s="0" t="n">
        <v>56179763</v>
      </c>
    </row>
    <row r="95" customFormat="false" ht="15" hidden="false" customHeight="false" outlineLevel="0" collapsed="false">
      <c r="B95" s="0" t="str">
        <f aca="false">C95&amp;"x"&amp;I95</f>
        <v>61007x100218</v>
      </c>
      <c r="C95" s="0" t="n">
        <f aca="false">IF(G95="SINGLE",H95,G95)</f>
        <v>61007</v>
      </c>
      <c r="D95" s="0" t="e">
        <f aca="false">_xlfn.XLOOKUP(I95,calculations!$t:$t,calculations!$s:$s)</f>
        <v>#VALUE!</v>
      </c>
      <c r="E95" s="0" t="str">
        <f aca="false">_xlfn.XLOOKUP(I95,Mapping!$T:$T,Mapping!$Q:$Q)</f>
        <v>PION16</v>
      </c>
      <c r="F95" s="1" t="n">
        <v>46203</v>
      </c>
      <c r="G95" s="0" t="n">
        <v>61007</v>
      </c>
      <c r="H95" s="0" t="n">
        <v>61007</v>
      </c>
      <c r="I95" s="0" t="n">
        <v>100218</v>
      </c>
      <c r="J95" s="0" t="s">
        <v>410</v>
      </c>
      <c r="K95" s="0" t="s">
        <v>218</v>
      </c>
      <c r="L95" s="0" t="s">
        <v>218</v>
      </c>
      <c r="M95" s="0" t="s">
        <v>184</v>
      </c>
      <c r="N95" s="0" t="n">
        <v>28444000</v>
      </c>
      <c r="O95" s="0" t="n">
        <v>29629166.67</v>
      </c>
      <c r="P95" s="0" t="s">
        <v>219</v>
      </c>
      <c r="Q95" s="0" t="s">
        <v>227</v>
      </c>
      <c r="R95" s="0" t="s">
        <v>187</v>
      </c>
      <c r="S95" s="0" t="s">
        <v>411</v>
      </c>
      <c r="T95" s="0" t="s">
        <v>189</v>
      </c>
      <c r="U95" s="0" t="s">
        <v>412</v>
      </c>
      <c r="V95" s="0" t="s">
        <v>413</v>
      </c>
      <c r="W95" s="0" t="s">
        <v>347</v>
      </c>
      <c r="X95" s="0" t="s">
        <v>414</v>
      </c>
      <c r="Y95" s="0" t="n">
        <v>9.4</v>
      </c>
      <c r="Z95" s="0" t="s">
        <v>415</v>
      </c>
      <c r="AA95" s="0" t="n">
        <v>0.96</v>
      </c>
      <c r="AB95" s="0" t="s">
        <v>202</v>
      </c>
      <c r="AC95" s="0" t="n">
        <v>31144000</v>
      </c>
      <c r="AD95" s="0" t="n">
        <v>31144000</v>
      </c>
      <c r="AE95" s="0" t="n">
        <v>32441666.67</v>
      </c>
      <c r="AF95" s="0" t="n">
        <v>0.9133</v>
      </c>
      <c r="AG95" s="0" t="n">
        <v>28444000</v>
      </c>
      <c r="AH95" s="0" t="n">
        <v>28444000</v>
      </c>
      <c r="AI95" s="0" t="n">
        <v>2700000</v>
      </c>
      <c r="AJ95" s="0" t="n">
        <v>31144000</v>
      </c>
      <c r="AK95" s="0" t="n">
        <v>28444000</v>
      </c>
      <c r="AL95" s="0" t="n">
        <v>28444000</v>
      </c>
      <c r="AM95" s="0" t="s">
        <v>194</v>
      </c>
      <c r="AN95" s="0" t="n">
        <v>3.85</v>
      </c>
      <c r="AO95" s="0" t="n">
        <v>5.755</v>
      </c>
      <c r="AP95" s="0" t="n">
        <v>3.106</v>
      </c>
      <c r="AQ95" s="0" t="n">
        <v>100</v>
      </c>
      <c r="AR95" s="0" t="n">
        <v>100</v>
      </c>
      <c r="AS95" s="1" t="n">
        <v>42161</v>
      </c>
      <c r="AT95" s="1" t="n">
        <v>47093</v>
      </c>
      <c r="AU95" s="1" t="n">
        <v>46295</v>
      </c>
      <c r="AV95" s="0" t="s">
        <v>416</v>
      </c>
      <c r="AW95" s="0" t="s">
        <v>249</v>
      </c>
      <c r="AX95" s="0" t="s">
        <v>187</v>
      </c>
      <c r="AY95" s="0" t="s">
        <v>417</v>
      </c>
      <c r="AZ95" s="0" t="s">
        <v>418</v>
      </c>
      <c r="BA95" s="0" t="s">
        <v>413</v>
      </c>
      <c r="BB95" s="0" t="s">
        <v>249</v>
      </c>
      <c r="BC95" s="0" t="s">
        <v>419</v>
      </c>
      <c r="BI95" s="0" t="n">
        <v>31144000</v>
      </c>
      <c r="BJ95" s="0" t="n">
        <v>32441666.67</v>
      </c>
      <c r="BK95" s="0" t="s">
        <v>200</v>
      </c>
      <c r="BL95" s="0" t="s">
        <v>201</v>
      </c>
      <c r="BN95" s="0" t="n">
        <v>8.1</v>
      </c>
      <c r="BO95" s="0" t="n">
        <v>2.44</v>
      </c>
      <c r="BP95" s="0" t="s">
        <v>202</v>
      </c>
      <c r="BQ95" s="0" t="s">
        <v>187</v>
      </c>
      <c r="BR95" s="0" t="s">
        <v>203</v>
      </c>
      <c r="BS95" s="0" t="s">
        <v>420</v>
      </c>
      <c r="BT95" s="0" t="s">
        <v>224</v>
      </c>
      <c r="BU95" s="0" t="s">
        <v>269</v>
      </c>
      <c r="BW95" s="0" t="s">
        <v>206</v>
      </c>
      <c r="BX95" s="0" t="s">
        <v>217</v>
      </c>
      <c r="BY95" s="0" t="n">
        <v>345</v>
      </c>
      <c r="BZ95" s="0" t="n">
        <v>345</v>
      </c>
      <c r="CB95" s="0" t="s">
        <v>208</v>
      </c>
      <c r="CC95" s="0" t="s">
        <v>354</v>
      </c>
      <c r="CD95" s="0" t="s">
        <v>354</v>
      </c>
      <c r="CE95" s="0" t="s">
        <v>211</v>
      </c>
      <c r="CF95" s="0" t="s">
        <v>289</v>
      </c>
      <c r="CG95" s="0" t="s">
        <v>211</v>
      </c>
      <c r="CH95" s="1" t="n">
        <v>46112</v>
      </c>
      <c r="CI95" s="0" t="n">
        <v>1.2</v>
      </c>
      <c r="CJ95" s="0" t="n">
        <v>1.22</v>
      </c>
      <c r="CK95" s="0" t="n">
        <v>1.28</v>
      </c>
      <c r="CL95" s="0" t="s">
        <v>213</v>
      </c>
      <c r="DA95" s="0" t="n">
        <v>0.77</v>
      </c>
      <c r="DC95" s="0" t="n">
        <v>0.85</v>
      </c>
      <c r="DD95" s="0" t="s">
        <v>212</v>
      </c>
      <c r="ED95" s="0" t="s">
        <v>212</v>
      </c>
      <c r="EE95" s="0" t="n">
        <v>1.05</v>
      </c>
      <c r="EI95" s="0" t="n">
        <v>1.52</v>
      </c>
      <c r="FQ95" s="0" t="n">
        <v>86611693</v>
      </c>
    </row>
    <row r="96" customFormat="false" ht="15" hidden="false" customHeight="false" outlineLevel="0" collapsed="false">
      <c r="B96" s="0" t="str">
        <f aca="false">C96&amp;"x"&amp;I96</f>
        <v>61011x100218</v>
      </c>
      <c r="C96" s="0" t="n">
        <f aca="false">IF(G96="SINGLE",H96,G96)</f>
        <v>61011</v>
      </c>
      <c r="D96" s="0" t="e">
        <f aca="false">_xlfn.XLOOKUP(I96,calculations!$t:$t,calculations!$s:$s)</f>
        <v>#VALUE!</v>
      </c>
      <c r="E96" s="0" t="str">
        <f aca="false">_xlfn.XLOOKUP(I96,Mapping!$T:$T,Mapping!$Q:$Q)</f>
        <v>PION16</v>
      </c>
      <c r="F96" s="1" t="n">
        <v>46203</v>
      </c>
      <c r="G96" s="0" t="n">
        <v>61011</v>
      </c>
      <c r="H96" s="0" t="n">
        <v>61011</v>
      </c>
      <c r="I96" s="0" t="n">
        <v>100218</v>
      </c>
      <c r="J96" s="0" t="s">
        <v>410</v>
      </c>
      <c r="K96" s="0" t="s">
        <v>421</v>
      </c>
      <c r="L96" s="0" t="s">
        <v>421</v>
      </c>
      <c r="M96" s="0" t="s">
        <v>184</v>
      </c>
      <c r="N96" s="0" t="n">
        <v>36447000</v>
      </c>
      <c r="O96" s="0" t="n">
        <v>37965625</v>
      </c>
      <c r="P96" s="0" t="s">
        <v>185</v>
      </c>
      <c r="Q96" s="0" t="s">
        <v>227</v>
      </c>
      <c r="R96" s="0" t="s">
        <v>187</v>
      </c>
      <c r="S96" s="0" t="s">
        <v>411</v>
      </c>
      <c r="T96" s="0" t="s">
        <v>189</v>
      </c>
      <c r="U96" s="0" t="s">
        <v>412</v>
      </c>
      <c r="V96" s="0" t="s">
        <v>413</v>
      </c>
      <c r="W96" s="0" t="s">
        <v>347</v>
      </c>
      <c r="X96" s="0" t="s">
        <v>414</v>
      </c>
      <c r="Y96" s="0" t="n">
        <v>9.4</v>
      </c>
      <c r="Z96" s="0" t="s">
        <v>415</v>
      </c>
      <c r="AA96" s="0" t="n">
        <v>0.96</v>
      </c>
      <c r="AB96" s="0" t="s">
        <v>202</v>
      </c>
      <c r="AC96" s="0" t="n">
        <v>39906000</v>
      </c>
      <c r="AD96" s="0" t="n">
        <v>39906000</v>
      </c>
      <c r="AE96" s="0" t="n">
        <v>41568750</v>
      </c>
      <c r="AF96" s="0" t="n">
        <v>0.9133</v>
      </c>
      <c r="AG96" s="0" t="n">
        <v>36447000</v>
      </c>
      <c r="AH96" s="0" t="n">
        <v>36447000</v>
      </c>
      <c r="AI96" s="0" t="n">
        <v>3459000</v>
      </c>
      <c r="AJ96" s="0" t="n">
        <v>39906000</v>
      </c>
      <c r="AK96" s="0" t="n">
        <v>36447000</v>
      </c>
      <c r="AL96" s="0" t="n">
        <v>36447000</v>
      </c>
      <c r="AM96" s="0" t="s">
        <v>194</v>
      </c>
      <c r="AN96" s="0" t="n">
        <v>5.417</v>
      </c>
      <c r="AO96" s="0" t="n">
        <v>3.34</v>
      </c>
      <c r="AP96" s="0" t="n">
        <v>5.12</v>
      </c>
      <c r="AQ96" s="0" t="n">
        <v>100</v>
      </c>
      <c r="AR96" s="0" t="n">
        <v>100</v>
      </c>
      <c r="AS96" s="1" t="n">
        <v>42161</v>
      </c>
      <c r="AT96" s="1" t="n">
        <v>47093</v>
      </c>
      <c r="AU96" s="1" t="n">
        <v>46295</v>
      </c>
      <c r="AV96" s="0" t="s">
        <v>416</v>
      </c>
      <c r="AW96" s="0" t="s">
        <v>249</v>
      </c>
      <c r="AX96" s="0" t="s">
        <v>187</v>
      </c>
      <c r="AY96" s="0" t="s">
        <v>417</v>
      </c>
      <c r="AZ96" s="0" t="s">
        <v>418</v>
      </c>
      <c r="BA96" s="0" t="s">
        <v>413</v>
      </c>
      <c r="BB96" s="0" t="s">
        <v>249</v>
      </c>
      <c r="BC96" s="0" t="s">
        <v>419</v>
      </c>
      <c r="BI96" s="0" t="n">
        <v>39906000</v>
      </c>
      <c r="BJ96" s="0" t="n">
        <v>41568750</v>
      </c>
      <c r="BK96" s="0" t="s">
        <v>200</v>
      </c>
      <c r="BL96" s="0" t="s">
        <v>201</v>
      </c>
      <c r="BN96" s="0" t="n">
        <v>8.1</v>
      </c>
      <c r="BO96" s="0" t="n">
        <v>2.44</v>
      </c>
      <c r="BP96" s="0" t="s">
        <v>202</v>
      </c>
      <c r="BQ96" s="0" t="s">
        <v>187</v>
      </c>
      <c r="BR96" s="0" t="s">
        <v>203</v>
      </c>
      <c r="BS96" s="0" t="s">
        <v>420</v>
      </c>
      <c r="BT96" s="0" t="s">
        <v>224</v>
      </c>
      <c r="BU96" s="0" t="s">
        <v>216</v>
      </c>
      <c r="BW96" s="0" t="s">
        <v>257</v>
      </c>
      <c r="BX96" s="0" t="s">
        <v>207</v>
      </c>
      <c r="BY96" s="0" t="n">
        <v>345</v>
      </c>
      <c r="BZ96" s="0" t="n">
        <v>345</v>
      </c>
      <c r="CB96" s="0" t="s">
        <v>208</v>
      </c>
      <c r="CC96" s="0" t="s">
        <v>354</v>
      </c>
      <c r="CD96" s="0" t="s">
        <v>354</v>
      </c>
      <c r="CE96" s="0" t="s">
        <v>211</v>
      </c>
      <c r="CF96" s="0" t="s">
        <v>289</v>
      </c>
      <c r="CG96" s="0" t="s">
        <v>211</v>
      </c>
      <c r="CH96" s="1" t="n">
        <v>46112</v>
      </c>
      <c r="CI96" s="0" t="n">
        <v>1.2</v>
      </c>
      <c r="CJ96" s="0" t="n">
        <v>2.27</v>
      </c>
      <c r="CK96" s="0" t="n">
        <v>2.38</v>
      </c>
      <c r="CL96" s="0" t="s">
        <v>212</v>
      </c>
      <c r="DA96" s="0" t="n">
        <v>0.8</v>
      </c>
      <c r="DC96" s="0" t="n">
        <v>0.85</v>
      </c>
      <c r="DD96" s="0" t="s">
        <v>213</v>
      </c>
      <c r="ED96" s="0" t="s">
        <v>212</v>
      </c>
      <c r="EE96" s="0" t="n">
        <v>1.05</v>
      </c>
      <c r="EI96" s="0" t="n">
        <v>1.55</v>
      </c>
      <c r="FQ96" s="0" t="n">
        <v>79971840</v>
      </c>
    </row>
    <row r="97" customFormat="false" ht="15" hidden="false" customHeight="false" outlineLevel="0" collapsed="false">
      <c r="B97" s="0" t="str">
        <f aca="false">C97&amp;"x"&amp;I97</f>
        <v>61004x100218</v>
      </c>
      <c r="C97" s="0" t="n">
        <f aca="false">IF(G97="SINGLE",H97,G97)</f>
        <v>61004</v>
      </c>
      <c r="D97" s="0" t="e">
        <f aca="false">_xlfn.XLOOKUP(I97,calculations!$t:$t,calculations!$s:$s)</f>
        <v>#VALUE!</v>
      </c>
      <c r="E97" s="0" t="str">
        <f aca="false">_xlfn.XLOOKUP(I97,Mapping!$T:$T,Mapping!$Q:$Q)</f>
        <v>PION16</v>
      </c>
      <c r="F97" s="1" t="n">
        <v>46203</v>
      </c>
      <c r="G97" s="0" t="n">
        <v>61004</v>
      </c>
      <c r="H97" s="0" t="n">
        <v>61004</v>
      </c>
      <c r="I97" s="0" t="n">
        <v>100218</v>
      </c>
      <c r="J97" s="0" t="s">
        <v>410</v>
      </c>
      <c r="K97" s="0" t="s">
        <v>390</v>
      </c>
      <c r="L97" s="0" t="s">
        <v>390</v>
      </c>
      <c r="M97" s="0" t="s">
        <v>184</v>
      </c>
      <c r="N97" s="0" t="n">
        <v>31395000</v>
      </c>
      <c r="O97" s="0" t="n">
        <v>32703125</v>
      </c>
      <c r="P97" s="0" t="s">
        <v>185</v>
      </c>
      <c r="Q97" s="0" t="s">
        <v>227</v>
      </c>
      <c r="R97" s="0" t="s">
        <v>187</v>
      </c>
      <c r="S97" s="0" t="s">
        <v>411</v>
      </c>
      <c r="T97" s="0" t="s">
        <v>189</v>
      </c>
      <c r="U97" s="0" t="s">
        <v>412</v>
      </c>
      <c r="V97" s="0" t="s">
        <v>413</v>
      </c>
      <c r="W97" s="0" t="s">
        <v>347</v>
      </c>
      <c r="X97" s="0" t="s">
        <v>414</v>
      </c>
      <c r="Y97" s="0" t="n">
        <v>9.4</v>
      </c>
      <c r="Z97" s="0" t="s">
        <v>415</v>
      </c>
      <c r="AA97" s="0" t="n">
        <v>0.96</v>
      </c>
      <c r="AB97" s="0" t="s">
        <v>202</v>
      </c>
      <c r="AC97" s="0" t="n">
        <v>34375000</v>
      </c>
      <c r="AD97" s="0" t="n">
        <v>34375000</v>
      </c>
      <c r="AE97" s="0" t="n">
        <v>35807291.67</v>
      </c>
      <c r="AF97" s="0" t="n">
        <v>0.9133</v>
      </c>
      <c r="AG97" s="0" t="n">
        <v>31395000</v>
      </c>
      <c r="AH97" s="0" t="n">
        <v>31395000</v>
      </c>
      <c r="AI97" s="0" t="n">
        <v>2980000</v>
      </c>
      <c r="AJ97" s="0" t="n">
        <v>34375000</v>
      </c>
      <c r="AK97" s="0" t="n">
        <v>31395000</v>
      </c>
      <c r="AL97" s="0" t="n">
        <v>31395000</v>
      </c>
      <c r="AM97" s="0" t="s">
        <v>194</v>
      </c>
      <c r="AN97" s="0" t="n">
        <v>6.316</v>
      </c>
      <c r="AO97" s="0" t="n">
        <v>2.85</v>
      </c>
      <c r="AP97" s="0" t="n">
        <v>2.784</v>
      </c>
      <c r="AQ97" s="0" t="n">
        <v>100</v>
      </c>
      <c r="AR97" s="0" t="n">
        <v>100</v>
      </c>
      <c r="AS97" s="1" t="n">
        <v>42161</v>
      </c>
      <c r="AT97" s="1" t="n">
        <v>47093</v>
      </c>
      <c r="AU97" s="1" t="n">
        <v>46295</v>
      </c>
      <c r="AV97" s="0" t="s">
        <v>416</v>
      </c>
      <c r="AW97" s="0" t="s">
        <v>249</v>
      </c>
      <c r="AX97" s="0" t="s">
        <v>187</v>
      </c>
      <c r="AY97" s="0" t="s">
        <v>417</v>
      </c>
      <c r="AZ97" s="0" t="s">
        <v>418</v>
      </c>
      <c r="BA97" s="0" t="s">
        <v>413</v>
      </c>
      <c r="BB97" s="0" t="s">
        <v>249</v>
      </c>
      <c r="BC97" s="0" t="s">
        <v>419</v>
      </c>
      <c r="BI97" s="0" t="n">
        <v>34375000</v>
      </c>
      <c r="BJ97" s="0" t="n">
        <v>35807291.67</v>
      </c>
      <c r="BK97" s="0" t="s">
        <v>200</v>
      </c>
      <c r="BL97" s="0" t="s">
        <v>201</v>
      </c>
      <c r="BN97" s="0" t="n">
        <v>8.1</v>
      </c>
      <c r="BO97" s="0" t="n">
        <v>2.44</v>
      </c>
      <c r="BP97" s="0" t="s">
        <v>202</v>
      </c>
      <c r="BQ97" s="0" t="s">
        <v>187</v>
      </c>
      <c r="BR97" s="0" t="s">
        <v>203</v>
      </c>
      <c r="BS97" s="0" t="s">
        <v>420</v>
      </c>
      <c r="BT97" s="0" t="s">
        <v>224</v>
      </c>
      <c r="BU97" s="0" t="s">
        <v>216</v>
      </c>
      <c r="BW97" s="0" t="s">
        <v>206</v>
      </c>
      <c r="BX97" s="0" t="s">
        <v>207</v>
      </c>
      <c r="BY97" s="0" t="n">
        <v>345</v>
      </c>
      <c r="BZ97" s="0" t="n">
        <v>345</v>
      </c>
      <c r="CB97" s="0" t="s">
        <v>208</v>
      </c>
      <c r="CC97" s="0" t="s">
        <v>354</v>
      </c>
      <c r="CD97" s="0" t="s">
        <v>354</v>
      </c>
      <c r="CE97" s="0" t="s">
        <v>211</v>
      </c>
      <c r="CF97" s="0" t="s">
        <v>289</v>
      </c>
      <c r="CG97" s="0" t="s">
        <v>211</v>
      </c>
      <c r="CH97" s="1" t="n">
        <v>46112</v>
      </c>
      <c r="CI97" s="0" t="n">
        <v>1.2</v>
      </c>
      <c r="CJ97" s="0" t="n">
        <v>1.49</v>
      </c>
      <c r="CK97" s="0" t="n">
        <v>1.56</v>
      </c>
      <c r="CL97" s="0" t="s">
        <v>212</v>
      </c>
      <c r="DA97" s="0" t="n">
        <v>0.71</v>
      </c>
      <c r="DC97" s="0" t="n">
        <v>0.85</v>
      </c>
      <c r="DD97" s="0" t="s">
        <v>212</v>
      </c>
      <c r="ED97" s="0" t="s">
        <v>212</v>
      </c>
      <c r="EE97" s="0" t="n">
        <v>1.05</v>
      </c>
      <c r="EI97" s="0" t="n">
        <v>1.78</v>
      </c>
      <c r="FQ97" s="0" t="n">
        <v>66709930</v>
      </c>
    </row>
    <row r="98" customFormat="false" ht="15" hidden="false" customHeight="false" outlineLevel="0" collapsed="false">
      <c r="B98" s="0" t="str">
        <f aca="false">C98&amp;"x"&amp;I98</f>
        <v>61013x100218</v>
      </c>
      <c r="C98" s="0" t="n">
        <f aca="false">IF(G98="SINGLE",H98,G98)</f>
        <v>61013</v>
      </c>
      <c r="D98" s="0" t="e">
        <f aca="false">_xlfn.XLOOKUP(I98,calculations!$t:$t,calculations!$s:$s)</f>
        <v>#VALUE!</v>
      </c>
      <c r="E98" s="0" t="str">
        <f aca="false">_xlfn.XLOOKUP(I98,Mapping!$T:$T,Mapping!$Q:$Q)</f>
        <v>PION16</v>
      </c>
      <c r="F98" s="1" t="n">
        <v>46203</v>
      </c>
      <c r="G98" s="0" t="n">
        <v>61013</v>
      </c>
      <c r="H98" s="0" t="n">
        <v>61013</v>
      </c>
      <c r="I98" s="0" t="n">
        <v>100218</v>
      </c>
      <c r="J98" s="0" t="s">
        <v>410</v>
      </c>
      <c r="K98" s="0" t="s">
        <v>260</v>
      </c>
      <c r="L98" s="0" t="s">
        <v>260</v>
      </c>
      <c r="M98" s="0" t="s">
        <v>184</v>
      </c>
      <c r="N98" s="0" t="n">
        <v>14026000</v>
      </c>
      <c r="O98" s="0" t="n">
        <v>14610416.67</v>
      </c>
      <c r="P98" s="0" t="s">
        <v>185</v>
      </c>
      <c r="Q98" s="0" t="s">
        <v>227</v>
      </c>
      <c r="R98" s="0" t="s">
        <v>187</v>
      </c>
      <c r="S98" s="0" t="s">
        <v>411</v>
      </c>
      <c r="T98" s="0" t="s">
        <v>189</v>
      </c>
      <c r="U98" s="0" t="s">
        <v>412</v>
      </c>
      <c r="V98" s="0" t="s">
        <v>413</v>
      </c>
      <c r="W98" s="0" t="s">
        <v>347</v>
      </c>
      <c r="X98" s="0" t="s">
        <v>414</v>
      </c>
      <c r="Y98" s="0" t="n">
        <v>9.4</v>
      </c>
      <c r="Z98" s="0" t="s">
        <v>415</v>
      </c>
      <c r="AA98" s="0" t="n">
        <v>0.96</v>
      </c>
      <c r="AB98" s="0" t="s">
        <v>202</v>
      </c>
      <c r="AC98" s="0" t="n">
        <v>15357000</v>
      </c>
      <c r="AD98" s="0" t="n">
        <v>15357000</v>
      </c>
      <c r="AE98" s="0" t="n">
        <v>15996875</v>
      </c>
      <c r="AF98" s="0" t="n">
        <v>0.9133</v>
      </c>
      <c r="AG98" s="0" t="n">
        <v>14026000</v>
      </c>
      <c r="AH98" s="0" t="n">
        <v>14026000</v>
      </c>
      <c r="AI98" s="0" t="n">
        <v>1331000</v>
      </c>
      <c r="AJ98" s="0" t="n">
        <v>15357000</v>
      </c>
      <c r="AK98" s="0" t="n">
        <v>14026000</v>
      </c>
      <c r="AL98" s="0" t="n">
        <v>14026000</v>
      </c>
      <c r="AM98" s="0" t="s">
        <v>194</v>
      </c>
      <c r="AN98" s="0" t="n">
        <v>3.293</v>
      </c>
      <c r="AO98" s="0" t="n">
        <v>6.287</v>
      </c>
      <c r="AP98" s="0" t="n">
        <v>5.996</v>
      </c>
      <c r="AQ98" s="0" t="n">
        <v>100</v>
      </c>
      <c r="AR98" s="0" t="n">
        <v>100</v>
      </c>
      <c r="AS98" s="1" t="n">
        <v>42161</v>
      </c>
      <c r="AT98" s="1" t="n">
        <v>47093</v>
      </c>
      <c r="AU98" s="1" t="n">
        <v>46295</v>
      </c>
      <c r="AV98" s="0" t="s">
        <v>416</v>
      </c>
      <c r="AW98" s="0" t="s">
        <v>249</v>
      </c>
      <c r="AX98" s="0" t="s">
        <v>187</v>
      </c>
      <c r="AY98" s="0" t="s">
        <v>417</v>
      </c>
      <c r="AZ98" s="0" t="s">
        <v>418</v>
      </c>
      <c r="BA98" s="0" t="s">
        <v>413</v>
      </c>
      <c r="BB98" s="0" t="s">
        <v>249</v>
      </c>
      <c r="BC98" s="0" t="s">
        <v>419</v>
      </c>
      <c r="BI98" s="0" t="n">
        <v>15357000</v>
      </c>
      <c r="BJ98" s="0" t="n">
        <v>15996875</v>
      </c>
      <c r="BK98" s="0" t="s">
        <v>200</v>
      </c>
      <c r="BL98" s="0" t="s">
        <v>201</v>
      </c>
      <c r="BN98" s="0" t="n">
        <v>8.1</v>
      </c>
      <c r="BO98" s="0" t="n">
        <v>2.44</v>
      </c>
      <c r="BP98" s="0" t="s">
        <v>202</v>
      </c>
      <c r="BQ98" s="0" t="s">
        <v>187</v>
      </c>
      <c r="BR98" s="0" t="s">
        <v>203</v>
      </c>
      <c r="BS98" s="0" t="s">
        <v>420</v>
      </c>
      <c r="BT98" s="0" t="s">
        <v>224</v>
      </c>
      <c r="BU98" s="0" t="s">
        <v>220</v>
      </c>
      <c r="BW98" s="0" t="s">
        <v>257</v>
      </c>
      <c r="BX98" s="0" t="s">
        <v>217</v>
      </c>
      <c r="BY98" s="0" t="n">
        <v>345</v>
      </c>
      <c r="BZ98" s="0" t="n">
        <v>345</v>
      </c>
      <c r="CB98" s="0" t="s">
        <v>208</v>
      </c>
      <c r="CC98" s="0" t="s">
        <v>354</v>
      </c>
      <c r="CD98" s="0" t="s">
        <v>354</v>
      </c>
      <c r="CE98" s="0" t="s">
        <v>211</v>
      </c>
      <c r="CF98" s="0" t="s">
        <v>289</v>
      </c>
      <c r="CG98" s="0" t="s">
        <v>211</v>
      </c>
      <c r="CH98" s="1" t="n">
        <v>46112</v>
      </c>
      <c r="CI98" s="0" t="n">
        <v>1.2</v>
      </c>
      <c r="CJ98" s="0" t="n">
        <v>1.35</v>
      </c>
      <c r="CK98" s="0" t="n">
        <v>1.42</v>
      </c>
      <c r="CL98" s="0" t="s">
        <v>212</v>
      </c>
      <c r="DA98" s="0" t="n">
        <v>0.79</v>
      </c>
      <c r="DC98" s="0" t="n">
        <v>0.85</v>
      </c>
      <c r="DD98" s="0" t="s">
        <v>212</v>
      </c>
      <c r="ED98" s="0" t="s">
        <v>212</v>
      </c>
      <c r="EE98" s="0" t="n">
        <v>1.05</v>
      </c>
      <c r="EI98" s="0" t="n">
        <v>1.68</v>
      </c>
      <c r="FQ98" s="0" t="n">
        <v>58812316</v>
      </c>
    </row>
    <row r="99" customFormat="false" ht="15" hidden="false" customHeight="false" outlineLevel="0" collapsed="false">
      <c r="B99" s="0" t="str">
        <f aca="false">C99&amp;"x"&amp;I99</f>
        <v>61025x100218</v>
      </c>
      <c r="C99" s="0" t="n">
        <f aca="false">IF(G99="SINGLE",H99,G99)</f>
        <v>61025</v>
      </c>
      <c r="D99" s="0" t="e">
        <f aca="false">_xlfn.XLOOKUP(I99,calculations!$t:$t,calculations!$s:$s)</f>
        <v>#VALUE!</v>
      </c>
      <c r="E99" s="0" t="str">
        <f aca="false">_xlfn.XLOOKUP(I99,Mapping!$T:$T,Mapping!$Q:$Q)</f>
        <v>PION16</v>
      </c>
      <c r="F99" s="1" t="n">
        <v>46203</v>
      </c>
      <c r="G99" s="0" t="n">
        <v>61025</v>
      </c>
      <c r="H99" s="0" t="n">
        <v>61025</v>
      </c>
      <c r="I99" s="0" t="n">
        <v>100218</v>
      </c>
      <c r="J99" s="0" t="s">
        <v>410</v>
      </c>
      <c r="K99" s="0" t="s">
        <v>319</v>
      </c>
      <c r="L99" s="0" t="s">
        <v>319</v>
      </c>
      <c r="M99" s="0" t="s">
        <v>184</v>
      </c>
      <c r="N99" s="0" t="n">
        <v>13666000</v>
      </c>
      <c r="O99" s="0" t="n">
        <v>14235416.67</v>
      </c>
      <c r="P99" s="0" t="s">
        <v>185</v>
      </c>
      <c r="Q99" s="0" t="s">
        <v>227</v>
      </c>
      <c r="R99" s="0" t="s">
        <v>187</v>
      </c>
      <c r="S99" s="0" t="s">
        <v>411</v>
      </c>
      <c r="T99" s="0" t="s">
        <v>189</v>
      </c>
      <c r="U99" s="0" t="s">
        <v>412</v>
      </c>
      <c r="V99" s="0" t="s">
        <v>413</v>
      </c>
      <c r="W99" s="0" t="s">
        <v>347</v>
      </c>
      <c r="X99" s="0" t="s">
        <v>414</v>
      </c>
      <c r="Y99" s="0" t="n">
        <v>9.4</v>
      </c>
      <c r="Z99" s="0" t="s">
        <v>415</v>
      </c>
      <c r="AA99" s="0" t="n">
        <v>0.96</v>
      </c>
      <c r="AB99" s="0" t="s">
        <v>202</v>
      </c>
      <c r="AC99" s="0" t="n">
        <v>14963000</v>
      </c>
      <c r="AD99" s="0" t="n">
        <v>14963000</v>
      </c>
      <c r="AE99" s="0" t="n">
        <v>15586458.33</v>
      </c>
      <c r="AF99" s="0" t="n">
        <v>0.9133</v>
      </c>
      <c r="AG99" s="0" t="n">
        <v>13666000</v>
      </c>
      <c r="AH99" s="0" t="n">
        <v>13666000</v>
      </c>
      <c r="AI99" s="0" t="n">
        <v>1297000</v>
      </c>
      <c r="AJ99" s="0" t="n">
        <v>14963000</v>
      </c>
      <c r="AK99" s="0" t="n">
        <v>13666000</v>
      </c>
      <c r="AL99" s="0" t="n">
        <v>13666000</v>
      </c>
      <c r="AM99" s="0" t="s">
        <v>194</v>
      </c>
      <c r="AN99" s="0" t="n">
        <v>3.62</v>
      </c>
      <c r="AO99" s="0" t="n">
        <v>4.733</v>
      </c>
      <c r="AP99" s="0" t="n">
        <v>5.266</v>
      </c>
      <c r="AQ99" s="0" t="n">
        <v>100</v>
      </c>
      <c r="AR99" s="0" t="n">
        <v>100</v>
      </c>
      <c r="AS99" s="1" t="n">
        <v>42161</v>
      </c>
      <c r="AT99" s="1" t="n">
        <v>47093</v>
      </c>
      <c r="AU99" s="1" t="n">
        <v>46295</v>
      </c>
      <c r="AV99" s="0" t="s">
        <v>416</v>
      </c>
      <c r="AW99" s="0" t="s">
        <v>249</v>
      </c>
      <c r="AX99" s="0" t="s">
        <v>187</v>
      </c>
      <c r="AY99" s="0" t="s">
        <v>417</v>
      </c>
      <c r="AZ99" s="0" t="s">
        <v>418</v>
      </c>
      <c r="BA99" s="0" t="s">
        <v>413</v>
      </c>
      <c r="BB99" s="0" t="s">
        <v>249</v>
      </c>
      <c r="BC99" s="0" t="s">
        <v>419</v>
      </c>
      <c r="BI99" s="0" t="n">
        <v>14963000</v>
      </c>
      <c r="BJ99" s="0" t="n">
        <v>15586458.33</v>
      </c>
      <c r="BK99" s="0" t="s">
        <v>200</v>
      </c>
      <c r="BL99" s="0" t="s">
        <v>201</v>
      </c>
      <c r="BN99" s="0" t="n">
        <v>8.1</v>
      </c>
      <c r="BO99" s="0" t="n">
        <v>2.44</v>
      </c>
      <c r="BP99" s="0" t="s">
        <v>202</v>
      </c>
      <c r="BQ99" s="0" t="s">
        <v>187</v>
      </c>
      <c r="BR99" s="0" t="s">
        <v>203</v>
      </c>
      <c r="BS99" s="0" t="s">
        <v>420</v>
      </c>
      <c r="BT99" s="0" t="s">
        <v>224</v>
      </c>
      <c r="BU99" s="0" t="s">
        <v>269</v>
      </c>
      <c r="BW99" s="0" t="s">
        <v>257</v>
      </c>
      <c r="BX99" s="0" t="s">
        <v>207</v>
      </c>
      <c r="BY99" s="0" t="n">
        <v>345</v>
      </c>
      <c r="BZ99" s="0" t="n">
        <v>345</v>
      </c>
      <c r="CB99" s="0" t="s">
        <v>208</v>
      </c>
      <c r="CC99" s="0" t="s">
        <v>354</v>
      </c>
      <c r="CD99" s="0" t="s">
        <v>354</v>
      </c>
      <c r="CE99" s="0" t="s">
        <v>211</v>
      </c>
      <c r="CF99" s="0" t="s">
        <v>289</v>
      </c>
      <c r="CG99" s="0" t="s">
        <v>211</v>
      </c>
      <c r="CH99" s="1" t="n">
        <v>46112</v>
      </c>
      <c r="CI99" s="0" t="n">
        <v>1.2</v>
      </c>
      <c r="CJ99" s="0" t="n">
        <v>3.09</v>
      </c>
      <c r="CK99" s="0" t="n">
        <v>3.24</v>
      </c>
      <c r="CL99" s="0" t="s">
        <v>212</v>
      </c>
      <c r="DA99" s="0" t="n">
        <v>0.6</v>
      </c>
      <c r="DC99" s="0" t="n">
        <v>0.85</v>
      </c>
      <c r="DD99" s="0" t="s">
        <v>212</v>
      </c>
      <c r="ED99" s="0" t="s">
        <v>212</v>
      </c>
      <c r="EE99" s="0" t="n">
        <v>1.05</v>
      </c>
      <c r="EI99" s="0" t="n">
        <v>1.62</v>
      </c>
      <c r="FQ99" s="0" t="n">
        <v>67764310</v>
      </c>
    </row>
    <row r="100" customFormat="false" ht="15" hidden="false" customHeight="false" outlineLevel="0" collapsed="false">
      <c r="B100" s="0" t="str">
        <f aca="false">C100&amp;"x"&amp;I100</f>
        <v>61008x100219</v>
      </c>
      <c r="C100" s="0" t="n">
        <f aca="false">IF(G100="SINGLE",H100,G100)</f>
        <v>61008</v>
      </c>
      <c r="D100" s="0" t="e">
        <f aca="false">_xlfn.XLOOKUP(I100,calculations!$t:$t,calculations!$s:$s)</f>
        <v>#VALUE!</v>
      </c>
      <c r="E100" s="0" t="str">
        <f aca="false">_xlfn.XLOOKUP(I100,Mapping!$T:$T,Mapping!$Q:$Q)</f>
        <v>QUAR17</v>
      </c>
      <c r="F100" s="1" t="n">
        <v>46203</v>
      </c>
      <c r="G100" s="0" t="n">
        <v>61008</v>
      </c>
      <c r="H100" s="0" t="n">
        <v>61008</v>
      </c>
      <c r="I100" s="0" t="n">
        <v>100219</v>
      </c>
      <c r="J100" s="0" t="s">
        <v>422</v>
      </c>
      <c r="K100" s="0" t="s">
        <v>277</v>
      </c>
      <c r="L100" s="0" t="s">
        <v>277</v>
      </c>
      <c r="M100" s="0" t="s">
        <v>184</v>
      </c>
      <c r="N100" s="0" t="n">
        <v>28308000</v>
      </c>
      <c r="O100" s="0" t="n">
        <v>28308000</v>
      </c>
      <c r="P100" s="0" t="s">
        <v>185</v>
      </c>
      <c r="Q100" s="0" t="s">
        <v>186</v>
      </c>
      <c r="R100" s="0" t="s">
        <v>202</v>
      </c>
      <c r="S100" s="0" t="s">
        <v>423</v>
      </c>
      <c r="T100" s="0" t="s">
        <v>189</v>
      </c>
      <c r="U100" s="0" t="s">
        <v>190</v>
      </c>
      <c r="V100" s="0" t="s">
        <v>191</v>
      </c>
      <c r="W100" s="0" t="s">
        <v>281</v>
      </c>
      <c r="X100" s="0" t="s">
        <v>424</v>
      </c>
      <c r="Y100" s="0" t="n">
        <v>9.2</v>
      </c>
      <c r="Z100" s="0" t="s">
        <v>185</v>
      </c>
      <c r="AA100" s="0" t="n">
        <v>1</v>
      </c>
      <c r="AB100" s="0" t="s">
        <v>187</v>
      </c>
      <c r="AC100" s="0" t="n">
        <v>29187000</v>
      </c>
      <c r="AD100" s="0" t="n">
        <v>29187000</v>
      </c>
      <c r="AE100" s="0" t="n">
        <v>29187000</v>
      </c>
      <c r="AF100" s="0" t="n">
        <v>0.9699</v>
      </c>
      <c r="AG100" s="0" t="n">
        <v>28308000</v>
      </c>
      <c r="AH100" s="0" t="n">
        <v>28308000</v>
      </c>
      <c r="AI100" s="0" t="n">
        <v>879000</v>
      </c>
      <c r="AJ100" s="0" t="n">
        <v>29187000</v>
      </c>
      <c r="AK100" s="0" t="n">
        <v>28308000</v>
      </c>
      <c r="AL100" s="0" t="n">
        <v>28308000</v>
      </c>
      <c r="AM100" s="0" t="s">
        <v>194</v>
      </c>
      <c r="AN100" s="0" t="n">
        <v>4.623</v>
      </c>
      <c r="AO100" s="0" t="n">
        <v>3.288</v>
      </c>
      <c r="AP100" s="0" t="n">
        <v>3.419</v>
      </c>
      <c r="AQ100" s="0" t="n">
        <v>100</v>
      </c>
      <c r="AR100" s="0" t="n">
        <v>100</v>
      </c>
      <c r="AS100" s="1" t="n">
        <v>43479</v>
      </c>
      <c r="AT100" s="1" t="n">
        <v>50235</v>
      </c>
      <c r="AU100" s="1" t="n">
        <v>46295</v>
      </c>
      <c r="AV100" s="0" t="s">
        <v>425</v>
      </c>
      <c r="AW100" s="0" t="s">
        <v>384</v>
      </c>
      <c r="AX100" s="0" t="s">
        <v>187</v>
      </c>
      <c r="AY100" s="0" t="s">
        <v>426</v>
      </c>
      <c r="AZ100" s="0" t="s">
        <v>427</v>
      </c>
      <c r="BA100" s="0" t="s">
        <v>191</v>
      </c>
      <c r="BB100" s="0" t="s">
        <v>384</v>
      </c>
      <c r="BC100" s="0" t="s">
        <v>428</v>
      </c>
      <c r="BI100" s="0" t="n">
        <v>29187000</v>
      </c>
      <c r="BJ100" s="0" t="n">
        <v>29187000</v>
      </c>
      <c r="BK100" s="0" t="s">
        <v>200</v>
      </c>
      <c r="BL100" s="0" t="s">
        <v>201</v>
      </c>
      <c r="BN100" s="0" t="n">
        <v>11.1</v>
      </c>
      <c r="BO100" s="0" t="n">
        <v>11.04</v>
      </c>
      <c r="BP100" s="0" t="s">
        <v>202</v>
      </c>
      <c r="BQ100" s="0" t="s">
        <v>187</v>
      </c>
      <c r="BR100" s="0" t="s">
        <v>203</v>
      </c>
      <c r="BS100" s="0" t="s">
        <v>429</v>
      </c>
      <c r="BT100" s="0" t="s">
        <v>220</v>
      </c>
      <c r="BU100" s="0" t="s">
        <v>269</v>
      </c>
      <c r="BW100" s="0" t="s">
        <v>257</v>
      </c>
      <c r="BX100" s="0" t="s">
        <v>207</v>
      </c>
      <c r="BY100" s="0" t="n">
        <v>65</v>
      </c>
      <c r="BZ100" s="0" t="n">
        <v>65</v>
      </c>
      <c r="CB100" s="0" t="s">
        <v>208</v>
      </c>
      <c r="CC100" s="0" t="s">
        <v>317</v>
      </c>
      <c r="CD100" s="0" t="s">
        <v>317</v>
      </c>
      <c r="CE100" s="0" t="s">
        <v>211</v>
      </c>
      <c r="CF100" s="0" t="s">
        <v>211</v>
      </c>
      <c r="CG100" s="0" t="s">
        <v>211</v>
      </c>
      <c r="CH100" s="1" t="n">
        <v>46112</v>
      </c>
      <c r="CI100" s="0" t="n">
        <v>1.2</v>
      </c>
      <c r="CJ100" s="0" t="n">
        <v>1.68</v>
      </c>
      <c r="CK100" s="0" t="n">
        <v>1.76</v>
      </c>
      <c r="CL100" s="0" t="s">
        <v>212</v>
      </c>
      <c r="DA100" s="0" t="n">
        <v>0.5</v>
      </c>
      <c r="DC100" s="0" t="n">
        <v>0.85</v>
      </c>
      <c r="DD100" s="0" t="s">
        <v>212</v>
      </c>
      <c r="ED100" s="0" t="s">
        <v>212</v>
      </c>
      <c r="EE100" s="0" t="n">
        <v>1.05</v>
      </c>
      <c r="EI100" s="0" t="n">
        <v>1.6</v>
      </c>
      <c r="FQ100" s="0" t="n">
        <v>35621427</v>
      </c>
    </row>
    <row r="101" customFormat="false" ht="15" hidden="false" customHeight="false" outlineLevel="0" collapsed="false">
      <c r="B101" s="0" t="str">
        <f aca="false">C101&amp;"x"&amp;I101</f>
        <v>61019x100219</v>
      </c>
      <c r="C101" s="0" t="n">
        <f aca="false">IF(G101="SINGLE",H101,G101)</f>
        <v>61019</v>
      </c>
      <c r="D101" s="0" t="e">
        <f aca="false">_xlfn.XLOOKUP(I101,calculations!$t:$t,calculations!$s:$s)</f>
        <v>#VALUE!</v>
      </c>
      <c r="E101" s="0" t="str">
        <f aca="false">_xlfn.XLOOKUP(I101,Mapping!$T:$T,Mapping!$Q:$Q)</f>
        <v>QUAR17</v>
      </c>
      <c r="F101" s="1" t="n">
        <v>46203</v>
      </c>
      <c r="G101" s="0" t="n">
        <v>61019</v>
      </c>
      <c r="H101" s="0" t="n">
        <v>61019</v>
      </c>
      <c r="I101" s="0" t="n">
        <v>100219</v>
      </c>
      <c r="J101" s="0" t="s">
        <v>422</v>
      </c>
      <c r="K101" s="0" t="s">
        <v>223</v>
      </c>
      <c r="L101" s="0" t="s">
        <v>223</v>
      </c>
      <c r="M101" s="0" t="s">
        <v>184</v>
      </c>
      <c r="N101" s="0" t="n">
        <v>31564000</v>
      </c>
      <c r="O101" s="0" t="n">
        <v>31564000</v>
      </c>
      <c r="P101" s="0" t="s">
        <v>185</v>
      </c>
      <c r="Q101" s="0" t="s">
        <v>186</v>
      </c>
      <c r="R101" s="0" t="s">
        <v>202</v>
      </c>
      <c r="S101" s="0" t="s">
        <v>423</v>
      </c>
      <c r="T101" s="0" t="s">
        <v>189</v>
      </c>
      <c r="U101" s="0" t="s">
        <v>190</v>
      </c>
      <c r="V101" s="0" t="s">
        <v>191</v>
      </c>
      <c r="W101" s="0" t="s">
        <v>281</v>
      </c>
      <c r="X101" s="0" t="s">
        <v>424</v>
      </c>
      <c r="Y101" s="0" t="n">
        <v>9.2</v>
      </c>
      <c r="Z101" s="0" t="s">
        <v>185</v>
      </c>
      <c r="AA101" s="0" t="n">
        <v>1</v>
      </c>
      <c r="AB101" s="0" t="s">
        <v>187</v>
      </c>
      <c r="AC101" s="0" t="n">
        <v>32544000</v>
      </c>
      <c r="AD101" s="0" t="n">
        <v>32544000</v>
      </c>
      <c r="AE101" s="0" t="n">
        <v>32544000</v>
      </c>
      <c r="AF101" s="0" t="n">
        <v>0.9699</v>
      </c>
      <c r="AG101" s="0" t="n">
        <v>31564000</v>
      </c>
      <c r="AH101" s="0" t="n">
        <v>31564000</v>
      </c>
      <c r="AI101" s="0" t="n">
        <v>980000</v>
      </c>
      <c r="AJ101" s="0" t="n">
        <v>32544000</v>
      </c>
      <c r="AK101" s="0" t="n">
        <v>31564000</v>
      </c>
      <c r="AL101" s="0" t="n">
        <v>31564000</v>
      </c>
      <c r="AM101" s="0" t="s">
        <v>194</v>
      </c>
      <c r="AN101" s="0" t="n">
        <v>5.262</v>
      </c>
      <c r="AO101" s="0" t="n">
        <v>4.522</v>
      </c>
      <c r="AP101" s="0" t="n">
        <v>3.655</v>
      </c>
      <c r="AQ101" s="0" t="n">
        <v>100</v>
      </c>
      <c r="AR101" s="0" t="n">
        <v>100</v>
      </c>
      <c r="AS101" s="1" t="n">
        <v>43479</v>
      </c>
      <c r="AT101" s="1" t="n">
        <v>50235</v>
      </c>
      <c r="AU101" s="1" t="n">
        <v>46295</v>
      </c>
      <c r="AV101" s="0" t="s">
        <v>425</v>
      </c>
      <c r="AW101" s="0" t="s">
        <v>384</v>
      </c>
      <c r="AX101" s="0" t="s">
        <v>187</v>
      </c>
      <c r="AY101" s="0" t="s">
        <v>426</v>
      </c>
      <c r="AZ101" s="0" t="s">
        <v>427</v>
      </c>
      <c r="BA101" s="0" t="s">
        <v>191</v>
      </c>
      <c r="BB101" s="0" t="s">
        <v>384</v>
      </c>
      <c r="BC101" s="0" t="s">
        <v>428</v>
      </c>
      <c r="BI101" s="0" t="n">
        <v>32544000</v>
      </c>
      <c r="BJ101" s="0" t="n">
        <v>32544000</v>
      </c>
      <c r="BK101" s="0" t="s">
        <v>200</v>
      </c>
      <c r="BL101" s="0" t="s">
        <v>201</v>
      </c>
      <c r="BN101" s="0" t="n">
        <v>11.1</v>
      </c>
      <c r="BO101" s="0" t="n">
        <v>11.04</v>
      </c>
      <c r="BP101" s="0" t="s">
        <v>202</v>
      </c>
      <c r="BQ101" s="0" t="s">
        <v>187</v>
      </c>
      <c r="BR101" s="0" t="s">
        <v>203</v>
      </c>
      <c r="BS101" s="0" t="s">
        <v>429</v>
      </c>
      <c r="BT101" s="0" t="s">
        <v>220</v>
      </c>
      <c r="BU101" s="0" t="s">
        <v>205</v>
      </c>
      <c r="BW101" s="0" t="s">
        <v>257</v>
      </c>
      <c r="BX101" s="0" t="s">
        <v>217</v>
      </c>
      <c r="BY101" s="0" t="n">
        <v>65</v>
      </c>
      <c r="BZ101" s="0" t="n">
        <v>65</v>
      </c>
      <c r="CB101" s="0" t="s">
        <v>208</v>
      </c>
      <c r="CC101" s="0" t="s">
        <v>317</v>
      </c>
      <c r="CD101" s="0" t="s">
        <v>317</v>
      </c>
      <c r="CE101" s="0" t="s">
        <v>211</v>
      </c>
      <c r="CF101" s="0" t="s">
        <v>211</v>
      </c>
      <c r="CG101" s="0" t="s">
        <v>211</v>
      </c>
      <c r="CH101" s="1" t="n">
        <v>46112</v>
      </c>
      <c r="CI101" s="0" t="n">
        <v>1.2</v>
      </c>
      <c r="CJ101" s="0" t="n">
        <v>1.29</v>
      </c>
      <c r="CK101" s="0" t="n">
        <v>1.35</v>
      </c>
      <c r="CL101" s="0" t="s">
        <v>213</v>
      </c>
      <c r="DA101" s="0" t="n">
        <v>0.6</v>
      </c>
      <c r="DC101" s="0" t="n">
        <v>0.85</v>
      </c>
      <c r="DD101" s="0" t="s">
        <v>212</v>
      </c>
      <c r="ED101" s="0" t="s">
        <v>212</v>
      </c>
      <c r="EE101" s="0" t="n">
        <v>1.05</v>
      </c>
      <c r="EI101" s="0" t="n">
        <v>1.8</v>
      </c>
      <c r="FQ101" s="0" t="n">
        <v>37503879</v>
      </c>
    </row>
    <row r="102" customFormat="false" ht="15" hidden="false" customHeight="false" outlineLevel="0" collapsed="false">
      <c r="B102" s="0" t="str">
        <f aca="false">C102&amp;"x"&amp;I102</f>
        <v>61011x100219</v>
      </c>
      <c r="C102" s="0" t="n">
        <f aca="false">IF(G102="SINGLE",H102,G102)</f>
        <v>61011</v>
      </c>
      <c r="D102" s="0" t="e">
        <f aca="false">_xlfn.XLOOKUP(I102,calculations!$t:$t,calculations!$s:$s)</f>
        <v>#VALUE!</v>
      </c>
      <c r="E102" s="0" t="str">
        <f aca="false">_xlfn.XLOOKUP(I102,Mapping!$T:$T,Mapping!$Q:$Q)</f>
        <v>QUAR17</v>
      </c>
      <c r="F102" s="1" t="n">
        <v>46203</v>
      </c>
      <c r="G102" s="0" t="n">
        <v>61011</v>
      </c>
      <c r="H102" s="0" t="n">
        <v>61011</v>
      </c>
      <c r="I102" s="0" t="n">
        <v>100219</v>
      </c>
      <c r="J102" s="0" t="s">
        <v>422</v>
      </c>
      <c r="K102" s="0" t="s">
        <v>421</v>
      </c>
      <c r="L102" s="0" t="s">
        <v>421</v>
      </c>
      <c r="M102" s="0" t="s">
        <v>184</v>
      </c>
      <c r="N102" s="0" t="n">
        <v>35906000</v>
      </c>
      <c r="O102" s="0" t="n">
        <v>35906000</v>
      </c>
      <c r="P102" s="0" t="s">
        <v>185</v>
      </c>
      <c r="Q102" s="0" t="s">
        <v>186</v>
      </c>
      <c r="R102" s="0" t="s">
        <v>202</v>
      </c>
      <c r="S102" s="0" t="s">
        <v>423</v>
      </c>
      <c r="T102" s="0" t="s">
        <v>189</v>
      </c>
      <c r="U102" s="0" t="s">
        <v>190</v>
      </c>
      <c r="V102" s="0" t="s">
        <v>191</v>
      </c>
      <c r="W102" s="0" t="s">
        <v>281</v>
      </c>
      <c r="X102" s="0" t="s">
        <v>424</v>
      </c>
      <c r="Y102" s="0" t="n">
        <v>9.2</v>
      </c>
      <c r="Z102" s="0" t="s">
        <v>185</v>
      </c>
      <c r="AA102" s="0" t="n">
        <v>1</v>
      </c>
      <c r="AB102" s="0" t="s">
        <v>187</v>
      </c>
      <c r="AC102" s="0" t="n">
        <v>37021000</v>
      </c>
      <c r="AD102" s="0" t="n">
        <v>37021000</v>
      </c>
      <c r="AE102" s="0" t="n">
        <v>37021000</v>
      </c>
      <c r="AF102" s="0" t="n">
        <v>0.9699</v>
      </c>
      <c r="AG102" s="0" t="n">
        <v>35906000</v>
      </c>
      <c r="AH102" s="0" t="n">
        <v>35906000</v>
      </c>
      <c r="AI102" s="0" t="n">
        <v>1115000</v>
      </c>
      <c r="AJ102" s="0" t="n">
        <v>37021000</v>
      </c>
      <c r="AK102" s="0" t="n">
        <v>35906000</v>
      </c>
      <c r="AL102" s="0" t="n">
        <v>35906000</v>
      </c>
      <c r="AM102" s="0" t="s">
        <v>194</v>
      </c>
      <c r="AN102" s="0" t="n">
        <v>5.376</v>
      </c>
      <c r="AO102" s="0" t="n">
        <v>4.937</v>
      </c>
      <c r="AP102" s="0" t="n">
        <v>5.923</v>
      </c>
      <c r="AQ102" s="0" t="n">
        <v>100</v>
      </c>
      <c r="AR102" s="0" t="n">
        <v>100</v>
      </c>
      <c r="AS102" s="1" t="n">
        <v>43479</v>
      </c>
      <c r="AT102" s="1" t="n">
        <v>50235</v>
      </c>
      <c r="AU102" s="1" t="n">
        <v>46295</v>
      </c>
      <c r="AV102" s="0" t="s">
        <v>425</v>
      </c>
      <c r="AW102" s="0" t="s">
        <v>384</v>
      </c>
      <c r="AX102" s="0" t="s">
        <v>187</v>
      </c>
      <c r="AY102" s="0" t="s">
        <v>426</v>
      </c>
      <c r="AZ102" s="0" t="s">
        <v>427</v>
      </c>
      <c r="BA102" s="0" t="s">
        <v>191</v>
      </c>
      <c r="BB102" s="0" t="s">
        <v>384</v>
      </c>
      <c r="BC102" s="0" t="s">
        <v>428</v>
      </c>
      <c r="BI102" s="0" t="n">
        <v>37021000</v>
      </c>
      <c r="BJ102" s="0" t="n">
        <v>37021000</v>
      </c>
      <c r="BK102" s="0" t="s">
        <v>200</v>
      </c>
      <c r="BL102" s="0" t="s">
        <v>201</v>
      </c>
      <c r="BN102" s="0" t="n">
        <v>11.1</v>
      </c>
      <c r="BO102" s="0" t="n">
        <v>11.04</v>
      </c>
      <c r="BP102" s="0" t="s">
        <v>202</v>
      </c>
      <c r="BQ102" s="0" t="s">
        <v>187</v>
      </c>
      <c r="BR102" s="0" t="s">
        <v>203</v>
      </c>
      <c r="BS102" s="0" t="s">
        <v>429</v>
      </c>
      <c r="BT102" s="0" t="s">
        <v>220</v>
      </c>
      <c r="BU102" s="0" t="s">
        <v>220</v>
      </c>
      <c r="BW102" s="0" t="s">
        <v>257</v>
      </c>
      <c r="BX102" s="0" t="s">
        <v>207</v>
      </c>
      <c r="BY102" s="0" t="n">
        <v>65</v>
      </c>
      <c r="BZ102" s="0" t="n">
        <v>65</v>
      </c>
      <c r="CB102" s="0" t="s">
        <v>208</v>
      </c>
      <c r="CC102" s="0" t="s">
        <v>317</v>
      </c>
      <c r="CD102" s="0" t="s">
        <v>317</v>
      </c>
      <c r="CE102" s="0" t="s">
        <v>211</v>
      </c>
      <c r="CF102" s="0" t="s">
        <v>211</v>
      </c>
      <c r="CG102" s="0" t="s">
        <v>211</v>
      </c>
      <c r="CH102" s="1" t="n">
        <v>46112</v>
      </c>
      <c r="CI102" s="0" t="n">
        <v>1.2</v>
      </c>
      <c r="CJ102" s="0" t="n">
        <v>1.99</v>
      </c>
      <c r="CK102" s="0" t="n">
        <v>2.09</v>
      </c>
      <c r="CL102" s="0" t="s">
        <v>212</v>
      </c>
      <c r="DA102" s="0" t="n">
        <v>0.61</v>
      </c>
      <c r="DC102" s="0" t="n">
        <v>0.85</v>
      </c>
      <c r="DD102" s="0" t="s">
        <v>212</v>
      </c>
      <c r="ED102" s="0" t="s">
        <v>212</v>
      </c>
      <c r="EE102" s="0" t="n">
        <v>1.05</v>
      </c>
      <c r="EI102" s="0" t="n">
        <v>1.58</v>
      </c>
      <c r="FQ102" s="0" t="n">
        <v>38670006</v>
      </c>
    </row>
    <row r="103" customFormat="false" ht="15" hidden="false" customHeight="false" outlineLevel="0" collapsed="false">
      <c r="B103" s="0" t="str">
        <f aca="false">C103&amp;"x"&amp;I103</f>
        <v>61015x100219</v>
      </c>
      <c r="C103" s="0" t="n">
        <f aca="false">IF(G103="SINGLE",H103,G103)</f>
        <v>61015</v>
      </c>
      <c r="D103" s="0" t="e">
        <f aca="false">_xlfn.XLOOKUP(I103,calculations!$t:$t,calculations!$s:$s)</f>
        <v>#VALUE!</v>
      </c>
      <c r="E103" s="0" t="str">
        <f aca="false">_xlfn.XLOOKUP(I103,Mapping!$T:$T,Mapping!$Q:$Q)</f>
        <v>QUAR17</v>
      </c>
      <c r="F103" s="1" t="n">
        <v>46203</v>
      </c>
      <c r="G103" s="0" t="n">
        <v>61015</v>
      </c>
      <c r="H103" s="0" t="n">
        <v>61015</v>
      </c>
      <c r="I103" s="0" t="n">
        <v>100219</v>
      </c>
      <c r="J103" s="0" t="s">
        <v>422</v>
      </c>
      <c r="K103" s="0" t="s">
        <v>215</v>
      </c>
      <c r="L103" s="0" t="s">
        <v>215</v>
      </c>
      <c r="M103" s="0" t="s">
        <v>184</v>
      </c>
      <c r="N103" s="0" t="n">
        <v>22499000</v>
      </c>
      <c r="O103" s="0" t="n">
        <v>22499000</v>
      </c>
      <c r="P103" s="0" t="s">
        <v>185</v>
      </c>
      <c r="Q103" s="0" t="s">
        <v>186</v>
      </c>
      <c r="R103" s="0" t="s">
        <v>202</v>
      </c>
      <c r="S103" s="0" t="s">
        <v>423</v>
      </c>
      <c r="T103" s="0" t="s">
        <v>189</v>
      </c>
      <c r="U103" s="0" t="s">
        <v>190</v>
      </c>
      <c r="V103" s="0" t="s">
        <v>191</v>
      </c>
      <c r="W103" s="0" t="s">
        <v>281</v>
      </c>
      <c r="X103" s="0" t="s">
        <v>424</v>
      </c>
      <c r="Y103" s="0" t="n">
        <v>9.2</v>
      </c>
      <c r="Z103" s="0" t="s">
        <v>185</v>
      </c>
      <c r="AA103" s="0" t="n">
        <v>1</v>
      </c>
      <c r="AB103" s="0" t="s">
        <v>187</v>
      </c>
      <c r="AC103" s="0" t="n">
        <v>23197000</v>
      </c>
      <c r="AD103" s="0" t="n">
        <v>23197000</v>
      </c>
      <c r="AE103" s="0" t="n">
        <v>23197000</v>
      </c>
      <c r="AF103" s="0" t="n">
        <v>0.9699</v>
      </c>
      <c r="AG103" s="0" t="n">
        <v>22499000</v>
      </c>
      <c r="AH103" s="0" t="n">
        <v>22499000</v>
      </c>
      <c r="AI103" s="0" t="n">
        <v>698000</v>
      </c>
      <c r="AJ103" s="0" t="n">
        <v>23197000</v>
      </c>
      <c r="AK103" s="0" t="n">
        <v>22499000</v>
      </c>
      <c r="AL103" s="0" t="n">
        <v>22499000</v>
      </c>
      <c r="AM103" s="0" t="s">
        <v>194</v>
      </c>
      <c r="AN103" s="0" t="n">
        <v>6.337</v>
      </c>
      <c r="AO103" s="0" t="n">
        <v>5.467</v>
      </c>
      <c r="AP103" s="0" t="n">
        <v>5.964</v>
      </c>
      <c r="AQ103" s="0" t="n">
        <v>100</v>
      </c>
      <c r="AR103" s="0" t="n">
        <v>100</v>
      </c>
      <c r="AS103" s="1" t="n">
        <v>43479</v>
      </c>
      <c r="AT103" s="1" t="n">
        <v>50235</v>
      </c>
      <c r="AU103" s="1" t="n">
        <v>46295</v>
      </c>
      <c r="AV103" s="0" t="s">
        <v>425</v>
      </c>
      <c r="AW103" s="0" t="s">
        <v>384</v>
      </c>
      <c r="AX103" s="0" t="s">
        <v>187</v>
      </c>
      <c r="AY103" s="0" t="s">
        <v>426</v>
      </c>
      <c r="AZ103" s="0" t="s">
        <v>427</v>
      </c>
      <c r="BA103" s="0" t="s">
        <v>191</v>
      </c>
      <c r="BB103" s="0" t="s">
        <v>384</v>
      </c>
      <c r="BC103" s="0" t="s">
        <v>428</v>
      </c>
      <c r="BI103" s="0" t="n">
        <v>23197000</v>
      </c>
      <c r="BJ103" s="0" t="n">
        <v>23197000</v>
      </c>
      <c r="BK103" s="0" t="s">
        <v>200</v>
      </c>
      <c r="BL103" s="0" t="s">
        <v>201</v>
      </c>
      <c r="BN103" s="0" t="n">
        <v>11.1</v>
      </c>
      <c r="BO103" s="0" t="n">
        <v>11.04</v>
      </c>
      <c r="BP103" s="0" t="s">
        <v>202</v>
      </c>
      <c r="BQ103" s="0" t="s">
        <v>187</v>
      </c>
      <c r="BR103" s="0" t="s">
        <v>203</v>
      </c>
      <c r="BS103" s="0" t="s">
        <v>429</v>
      </c>
      <c r="BT103" s="0" t="s">
        <v>220</v>
      </c>
      <c r="BU103" s="0" t="s">
        <v>205</v>
      </c>
      <c r="BW103" s="0" t="s">
        <v>257</v>
      </c>
      <c r="BX103" s="0" t="s">
        <v>217</v>
      </c>
      <c r="BY103" s="0" t="n">
        <v>65</v>
      </c>
      <c r="BZ103" s="0" t="n">
        <v>65</v>
      </c>
      <c r="CB103" s="0" t="s">
        <v>208</v>
      </c>
      <c r="CC103" s="0" t="s">
        <v>317</v>
      </c>
      <c r="CD103" s="0" t="s">
        <v>317</v>
      </c>
      <c r="CE103" s="0" t="s">
        <v>211</v>
      </c>
      <c r="CF103" s="0" t="s">
        <v>211</v>
      </c>
      <c r="CG103" s="0" t="s">
        <v>211</v>
      </c>
      <c r="CH103" s="1" t="n">
        <v>46112</v>
      </c>
      <c r="CI103" s="0" t="n">
        <v>1.2</v>
      </c>
      <c r="CJ103" s="0" t="n">
        <v>2.57</v>
      </c>
      <c r="CK103" s="0" t="n">
        <v>2.7</v>
      </c>
      <c r="CL103" s="0" t="s">
        <v>212</v>
      </c>
      <c r="DA103" s="0" t="n">
        <v>0.66</v>
      </c>
      <c r="DC103" s="0" t="n">
        <v>0.85</v>
      </c>
      <c r="DD103" s="0" t="s">
        <v>212</v>
      </c>
      <c r="ED103" s="0" t="s">
        <v>212</v>
      </c>
      <c r="EE103" s="0" t="n">
        <v>1.05</v>
      </c>
      <c r="EI103" s="0" t="n">
        <v>1.65</v>
      </c>
      <c r="FQ103" s="0" t="n">
        <v>43643299</v>
      </c>
    </row>
    <row r="104" customFormat="false" ht="15" hidden="false" customHeight="false" outlineLevel="0" collapsed="false">
      <c r="B104" s="0" t="str">
        <f aca="false">C104&amp;"x"&amp;I104</f>
        <v>61014x100219</v>
      </c>
      <c r="C104" s="0" t="n">
        <f aca="false">IF(G104="SINGLE",H104,G104)</f>
        <v>61014</v>
      </c>
      <c r="D104" s="0" t="e">
        <f aca="false">_xlfn.XLOOKUP(I104,calculations!$t:$t,calculations!$s:$s)</f>
        <v>#VALUE!</v>
      </c>
      <c r="E104" s="0" t="str">
        <f aca="false">_xlfn.XLOOKUP(I104,Mapping!$T:$T,Mapping!$Q:$Q)</f>
        <v>QUAR17</v>
      </c>
      <c r="F104" s="1" t="n">
        <v>46203</v>
      </c>
      <c r="G104" s="0" t="n">
        <v>61014</v>
      </c>
      <c r="H104" s="0" t="n">
        <v>61014</v>
      </c>
      <c r="I104" s="0" t="n">
        <v>100219</v>
      </c>
      <c r="J104" s="0" t="s">
        <v>422</v>
      </c>
      <c r="K104" s="0" t="s">
        <v>241</v>
      </c>
      <c r="L104" s="0" t="s">
        <v>241</v>
      </c>
      <c r="M104" s="0" t="s">
        <v>184</v>
      </c>
      <c r="N104" s="0" t="n">
        <v>34784000</v>
      </c>
      <c r="O104" s="0" t="n">
        <v>34784000</v>
      </c>
      <c r="P104" s="0" t="s">
        <v>185</v>
      </c>
      <c r="Q104" s="0" t="s">
        <v>186</v>
      </c>
      <c r="R104" s="0" t="s">
        <v>202</v>
      </c>
      <c r="S104" s="0" t="s">
        <v>423</v>
      </c>
      <c r="T104" s="0" t="s">
        <v>189</v>
      </c>
      <c r="U104" s="0" t="s">
        <v>190</v>
      </c>
      <c r="V104" s="0" t="s">
        <v>191</v>
      </c>
      <c r="W104" s="0" t="s">
        <v>281</v>
      </c>
      <c r="X104" s="0" t="s">
        <v>424</v>
      </c>
      <c r="Y104" s="0" t="n">
        <v>9.2</v>
      </c>
      <c r="Z104" s="0" t="s">
        <v>185</v>
      </c>
      <c r="AA104" s="0" t="n">
        <v>1</v>
      </c>
      <c r="AB104" s="0" t="s">
        <v>187</v>
      </c>
      <c r="AC104" s="0" t="n">
        <v>35864000</v>
      </c>
      <c r="AD104" s="0" t="n">
        <v>35864000</v>
      </c>
      <c r="AE104" s="0" t="n">
        <v>35864000</v>
      </c>
      <c r="AF104" s="0" t="n">
        <v>0.9699</v>
      </c>
      <c r="AG104" s="0" t="n">
        <v>34784000</v>
      </c>
      <c r="AH104" s="0" t="n">
        <v>34784000</v>
      </c>
      <c r="AI104" s="0" t="n">
        <v>1080000</v>
      </c>
      <c r="AJ104" s="0" t="n">
        <v>35864000</v>
      </c>
      <c r="AK104" s="0" t="n">
        <v>34784000</v>
      </c>
      <c r="AL104" s="0" t="n">
        <v>34784000</v>
      </c>
      <c r="AM104" s="0" t="s">
        <v>194</v>
      </c>
      <c r="AN104" s="0" t="n">
        <v>3.737</v>
      </c>
      <c r="AO104" s="0" t="n">
        <v>4.267</v>
      </c>
      <c r="AP104" s="0" t="n">
        <v>6.356</v>
      </c>
      <c r="AQ104" s="0" t="n">
        <v>100</v>
      </c>
      <c r="AR104" s="0" t="n">
        <v>100</v>
      </c>
      <c r="AS104" s="1" t="n">
        <v>43479</v>
      </c>
      <c r="AT104" s="1" t="n">
        <v>50235</v>
      </c>
      <c r="AU104" s="1" t="n">
        <v>46295</v>
      </c>
      <c r="AV104" s="0" t="s">
        <v>425</v>
      </c>
      <c r="AW104" s="0" t="s">
        <v>384</v>
      </c>
      <c r="AX104" s="0" t="s">
        <v>187</v>
      </c>
      <c r="AY104" s="0" t="s">
        <v>426</v>
      </c>
      <c r="AZ104" s="0" t="s">
        <v>427</v>
      </c>
      <c r="BA104" s="0" t="s">
        <v>191</v>
      </c>
      <c r="BB104" s="0" t="s">
        <v>384</v>
      </c>
      <c r="BC104" s="0" t="s">
        <v>428</v>
      </c>
      <c r="BI104" s="0" t="n">
        <v>35864000</v>
      </c>
      <c r="BJ104" s="0" t="n">
        <v>35864000</v>
      </c>
      <c r="BK104" s="0" t="s">
        <v>200</v>
      </c>
      <c r="BL104" s="0" t="s">
        <v>201</v>
      </c>
      <c r="BN104" s="0" t="n">
        <v>11.1</v>
      </c>
      <c r="BO104" s="0" t="n">
        <v>11.04</v>
      </c>
      <c r="BP104" s="0" t="s">
        <v>202</v>
      </c>
      <c r="BQ104" s="0" t="s">
        <v>187</v>
      </c>
      <c r="BR104" s="0" t="s">
        <v>203</v>
      </c>
      <c r="BS104" s="0" t="s">
        <v>429</v>
      </c>
      <c r="BT104" s="0" t="s">
        <v>220</v>
      </c>
      <c r="BU104" s="0" t="s">
        <v>269</v>
      </c>
      <c r="BW104" s="0" t="s">
        <v>257</v>
      </c>
      <c r="BX104" s="0" t="s">
        <v>217</v>
      </c>
      <c r="BY104" s="0" t="n">
        <v>65</v>
      </c>
      <c r="BZ104" s="0" t="n">
        <v>65</v>
      </c>
      <c r="CB104" s="0" t="s">
        <v>208</v>
      </c>
      <c r="CC104" s="0" t="s">
        <v>317</v>
      </c>
      <c r="CD104" s="0" t="s">
        <v>317</v>
      </c>
      <c r="CE104" s="0" t="s">
        <v>211</v>
      </c>
      <c r="CF104" s="0" t="s">
        <v>211</v>
      </c>
      <c r="CG104" s="0" t="s">
        <v>211</v>
      </c>
      <c r="CH104" s="1" t="n">
        <v>46112</v>
      </c>
      <c r="CI104" s="0" t="n">
        <v>1.2</v>
      </c>
      <c r="CJ104" s="0" t="n">
        <v>2.25</v>
      </c>
      <c r="CK104" s="0" t="n">
        <v>2.36</v>
      </c>
      <c r="CL104" s="0" t="s">
        <v>212</v>
      </c>
      <c r="DA104" s="0" t="n">
        <v>0.47</v>
      </c>
      <c r="DC104" s="0" t="n">
        <v>0.85</v>
      </c>
      <c r="DD104" s="0" t="s">
        <v>212</v>
      </c>
      <c r="ED104" s="0" t="s">
        <v>212</v>
      </c>
      <c r="EE104" s="0" t="n">
        <v>1.05</v>
      </c>
      <c r="EI104" s="0" t="n">
        <v>1.6</v>
      </c>
      <c r="FQ104" s="0" t="n">
        <v>41332942</v>
      </c>
    </row>
    <row r="105" customFormat="false" ht="15" hidden="false" customHeight="false" outlineLevel="0" collapsed="false">
      <c r="B105" s="0" t="str">
        <f aca="false">C105&amp;"x"&amp;I105</f>
        <v>61008x100220</v>
      </c>
      <c r="C105" s="0" t="n">
        <f aca="false">IF(G105="SINGLE",H105,G105)</f>
        <v>61008</v>
      </c>
      <c r="D105" s="0" t="e">
        <f aca="false">_xlfn.XLOOKUP(I105,calculations!$t:$t,calculations!$s:$s)</f>
        <v>#VALUE!</v>
      </c>
      <c r="E105" s="0" t="str">
        <f aca="false">_xlfn.XLOOKUP(I105,Mapping!$T:$T,Mapping!$Q:$Q)</f>
        <v>RIDG18</v>
      </c>
      <c r="F105" s="1" t="n">
        <v>46203</v>
      </c>
      <c r="G105" s="0" t="n">
        <v>61008</v>
      </c>
      <c r="H105" s="0" t="n">
        <v>61008</v>
      </c>
      <c r="I105" s="0" t="n">
        <v>100220</v>
      </c>
      <c r="J105" s="0" t="s">
        <v>430</v>
      </c>
      <c r="K105" s="0" t="s">
        <v>277</v>
      </c>
      <c r="L105" s="0" t="s">
        <v>277</v>
      </c>
      <c r="M105" s="0" t="s">
        <v>184</v>
      </c>
      <c r="N105" s="0" t="n">
        <v>9605000</v>
      </c>
      <c r="O105" s="0" t="n">
        <v>850000</v>
      </c>
      <c r="P105" s="0" t="s">
        <v>185</v>
      </c>
      <c r="Q105" s="0" t="s">
        <v>227</v>
      </c>
      <c r="R105" s="0" t="s">
        <v>187</v>
      </c>
      <c r="S105" s="0" t="s">
        <v>431</v>
      </c>
      <c r="T105" s="0" t="s">
        <v>189</v>
      </c>
      <c r="U105" s="0" t="s">
        <v>432</v>
      </c>
      <c r="V105" s="0" t="s">
        <v>433</v>
      </c>
      <c r="W105" s="0" t="s">
        <v>434</v>
      </c>
      <c r="X105" s="0" t="s">
        <v>435</v>
      </c>
      <c r="Y105" s="0" t="n">
        <v>9.6</v>
      </c>
      <c r="Z105" s="0" t="s">
        <v>436</v>
      </c>
      <c r="AA105" s="0" t="n">
        <v>11.3</v>
      </c>
      <c r="AB105" s="0" t="s">
        <v>202</v>
      </c>
      <c r="AC105" s="0" t="n">
        <v>10385000</v>
      </c>
      <c r="AD105" s="0" t="n">
        <v>10385000</v>
      </c>
      <c r="AE105" s="0" t="n">
        <v>919026.55</v>
      </c>
      <c r="AF105" s="0" t="n">
        <v>0.9249</v>
      </c>
      <c r="AG105" s="0" t="n">
        <v>9605000</v>
      </c>
      <c r="AH105" s="0" t="n">
        <v>9605000</v>
      </c>
      <c r="AI105" s="0" t="n">
        <v>780000</v>
      </c>
      <c r="AJ105" s="0" t="n">
        <v>10385000</v>
      </c>
      <c r="AK105" s="0" t="n">
        <v>9605000</v>
      </c>
      <c r="AL105" s="0" t="n">
        <v>9605000</v>
      </c>
      <c r="AM105" s="0" t="s">
        <v>194</v>
      </c>
      <c r="AN105" s="0" t="n">
        <v>6.141</v>
      </c>
      <c r="AO105" s="0" t="n">
        <v>4.935</v>
      </c>
      <c r="AP105" s="0" t="n">
        <v>4.993</v>
      </c>
      <c r="AQ105" s="0" t="n">
        <v>100</v>
      </c>
      <c r="AR105" s="0" t="n">
        <v>100</v>
      </c>
      <c r="AS105" s="1" t="n">
        <v>44201</v>
      </c>
      <c r="AT105" s="1" t="n">
        <v>50045</v>
      </c>
      <c r="AU105" s="1" t="n">
        <v>46295</v>
      </c>
      <c r="AV105" s="0" t="s">
        <v>437</v>
      </c>
      <c r="AW105" s="0" t="s">
        <v>299</v>
      </c>
      <c r="AX105" s="0" t="s">
        <v>187</v>
      </c>
      <c r="AY105" s="0" t="s">
        <v>438</v>
      </c>
      <c r="AZ105" s="0" t="s">
        <v>439</v>
      </c>
      <c r="BA105" s="0" t="s">
        <v>433</v>
      </c>
      <c r="BB105" s="0" t="s">
        <v>299</v>
      </c>
      <c r="BC105" s="0" t="s">
        <v>440</v>
      </c>
      <c r="BI105" s="0" t="n">
        <v>10385000</v>
      </c>
      <c r="BJ105" s="0" t="n">
        <v>919026.55</v>
      </c>
      <c r="BK105" s="0" t="s">
        <v>200</v>
      </c>
      <c r="BL105" s="0" t="s">
        <v>201</v>
      </c>
      <c r="BN105" s="0" t="n">
        <v>9.6</v>
      </c>
      <c r="BO105" s="0" t="n">
        <v>10.52</v>
      </c>
      <c r="BP105" s="0" t="s">
        <v>202</v>
      </c>
      <c r="BQ105" s="0" t="s">
        <v>187</v>
      </c>
      <c r="BR105" s="0" t="s">
        <v>203</v>
      </c>
      <c r="BS105" s="0" t="s">
        <v>441</v>
      </c>
      <c r="BT105" s="0" t="s">
        <v>224</v>
      </c>
      <c r="BU105" s="0" t="s">
        <v>220</v>
      </c>
      <c r="BW105" s="0" t="s">
        <v>206</v>
      </c>
      <c r="BX105" s="0" t="s">
        <v>217</v>
      </c>
      <c r="BY105" s="0" t="n">
        <v>190</v>
      </c>
      <c r="BZ105" s="0" t="n">
        <v>190</v>
      </c>
      <c r="CB105" s="0" t="s">
        <v>208</v>
      </c>
      <c r="CC105" s="0" t="s">
        <v>256</v>
      </c>
      <c r="CD105" s="0" t="s">
        <v>256</v>
      </c>
      <c r="CE105" s="0" t="s">
        <v>211</v>
      </c>
      <c r="CF105" s="0" t="s">
        <v>211</v>
      </c>
      <c r="CG105" s="0" t="s">
        <v>211</v>
      </c>
      <c r="CH105" s="1" t="n">
        <v>46112</v>
      </c>
      <c r="CI105" s="0" t="n">
        <v>1.2</v>
      </c>
      <c r="CJ105" s="0" t="n">
        <v>2.7</v>
      </c>
      <c r="CK105" s="0" t="n">
        <v>2.84</v>
      </c>
      <c r="CL105" s="0" t="s">
        <v>212</v>
      </c>
      <c r="DA105" s="0" t="n">
        <v>0.63</v>
      </c>
      <c r="DC105" s="0" t="n">
        <v>0.85</v>
      </c>
      <c r="DD105" s="0" t="s">
        <v>212</v>
      </c>
      <c r="ED105" s="0" t="s">
        <v>212</v>
      </c>
      <c r="EE105" s="0" t="n">
        <v>1.05</v>
      </c>
      <c r="EI105" s="0" t="n">
        <v>1.9</v>
      </c>
      <c r="FQ105" s="0" t="n">
        <v>15878094</v>
      </c>
    </row>
    <row r="106" customFormat="false" ht="15" hidden="false" customHeight="false" outlineLevel="0" collapsed="false">
      <c r="B106" s="0" t="str">
        <f aca="false">C106&amp;"x"&amp;I106</f>
        <v>61005x100220</v>
      </c>
      <c r="C106" s="0" t="n">
        <f aca="false">IF(G106="SINGLE",H106,G106)</f>
        <v>61005</v>
      </c>
      <c r="D106" s="0" t="e">
        <f aca="false">_xlfn.XLOOKUP(I106,calculations!$t:$t,calculations!$s:$s)</f>
        <v>#VALUE!</v>
      </c>
      <c r="E106" s="0" t="str">
        <f aca="false">_xlfn.XLOOKUP(I106,Mapping!$T:$T,Mapping!$Q:$Q)</f>
        <v>RIDG18</v>
      </c>
      <c r="F106" s="1" t="n">
        <v>46203</v>
      </c>
      <c r="G106" s="0" t="n">
        <v>61005</v>
      </c>
      <c r="H106" s="0" t="n">
        <v>61005</v>
      </c>
      <c r="I106" s="0" t="n">
        <v>100220</v>
      </c>
      <c r="J106" s="0" t="s">
        <v>430</v>
      </c>
      <c r="K106" s="0" t="s">
        <v>275</v>
      </c>
      <c r="L106" s="0" t="s">
        <v>275</v>
      </c>
      <c r="M106" s="0" t="s">
        <v>184</v>
      </c>
      <c r="N106" s="0" t="n">
        <v>6773000</v>
      </c>
      <c r="O106" s="0" t="n">
        <v>599380.53</v>
      </c>
      <c r="P106" s="0" t="s">
        <v>185</v>
      </c>
      <c r="Q106" s="0" t="s">
        <v>227</v>
      </c>
      <c r="R106" s="0" t="s">
        <v>187</v>
      </c>
      <c r="S106" s="0" t="s">
        <v>431</v>
      </c>
      <c r="T106" s="0" t="s">
        <v>189</v>
      </c>
      <c r="U106" s="0" t="s">
        <v>432</v>
      </c>
      <c r="V106" s="0" t="s">
        <v>433</v>
      </c>
      <c r="W106" s="0" t="s">
        <v>434</v>
      </c>
      <c r="X106" s="0" t="s">
        <v>435</v>
      </c>
      <c r="Y106" s="0" t="n">
        <v>9.6</v>
      </c>
      <c r="Z106" s="0" t="s">
        <v>436</v>
      </c>
      <c r="AA106" s="0" t="n">
        <v>11.3</v>
      </c>
      <c r="AB106" s="0" t="s">
        <v>202</v>
      </c>
      <c r="AC106" s="0" t="n">
        <v>7323000</v>
      </c>
      <c r="AD106" s="0" t="n">
        <v>7323000</v>
      </c>
      <c r="AE106" s="0" t="n">
        <v>648053.1</v>
      </c>
      <c r="AF106" s="0" t="n">
        <v>0.9249</v>
      </c>
      <c r="AG106" s="0" t="n">
        <v>6773000</v>
      </c>
      <c r="AH106" s="0" t="n">
        <v>6773000</v>
      </c>
      <c r="AI106" s="0" t="n">
        <v>550000</v>
      </c>
      <c r="AJ106" s="0" t="n">
        <v>7323000</v>
      </c>
      <c r="AK106" s="0" t="n">
        <v>6773000</v>
      </c>
      <c r="AL106" s="0" t="n">
        <v>6773000</v>
      </c>
      <c r="AM106" s="0" t="s">
        <v>194</v>
      </c>
      <c r="AN106" s="0" t="n">
        <v>5.157</v>
      </c>
      <c r="AO106" s="0" t="n">
        <v>5.909</v>
      </c>
      <c r="AP106" s="0" t="n">
        <v>4.89</v>
      </c>
      <c r="AQ106" s="0" t="n">
        <v>100</v>
      </c>
      <c r="AR106" s="0" t="n">
        <v>100</v>
      </c>
      <c r="AS106" s="1" t="n">
        <v>44201</v>
      </c>
      <c r="AT106" s="1" t="n">
        <v>50045</v>
      </c>
      <c r="AU106" s="1" t="n">
        <v>46295</v>
      </c>
      <c r="AV106" s="0" t="s">
        <v>437</v>
      </c>
      <c r="AW106" s="0" t="s">
        <v>299</v>
      </c>
      <c r="AX106" s="0" t="s">
        <v>187</v>
      </c>
      <c r="AY106" s="0" t="s">
        <v>438</v>
      </c>
      <c r="AZ106" s="0" t="s">
        <v>439</v>
      </c>
      <c r="BA106" s="0" t="s">
        <v>433</v>
      </c>
      <c r="BB106" s="0" t="s">
        <v>299</v>
      </c>
      <c r="BC106" s="0" t="s">
        <v>440</v>
      </c>
      <c r="BI106" s="0" t="n">
        <v>7323000</v>
      </c>
      <c r="BJ106" s="0" t="n">
        <v>648053.1</v>
      </c>
      <c r="BK106" s="0" t="s">
        <v>200</v>
      </c>
      <c r="BL106" s="0" t="s">
        <v>201</v>
      </c>
      <c r="BN106" s="0" t="n">
        <v>9.6</v>
      </c>
      <c r="BO106" s="0" t="n">
        <v>10.52</v>
      </c>
      <c r="BP106" s="0" t="s">
        <v>202</v>
      </c>
      <c r="BQ106" s="0" t="s">
        <v>187</v>
      </c>
      <c r="BR106" s="0" t="s">
        <v>203</v>
      </c>
      <c r="BS106" s="0" t="s">
        <v>441</v>
      </c>
      <c r="BT106" s="0" t="s">
        <v>224</v>
      </c>
      <c r="BU106" s="0" t="s">
        <v>216</v>
      </c>
      <c r="BW106" s="0" t="s">
        <v>206</v>
      </c>
      <c r="BX106" s="0" t="s">
        <v>217</v>
      </c>
      <c r="BY106" s="0" t="n">
        <v>190</v>
      </c>
      <c r="BZ106" s="0" t="n">
        <v>190</v>
      </c>
      <c r="CB106" s="0" t="s">
        <v>208</v>
      </c>
      <c r="CC106" s="0" t="s">
        <v>256</v>
      </c>
      <c r="CD106" s="0" t="s">
        <v>256</v>
      </c>
      <c r="CE106" s="0" t="s">
        <v>211</v>
      </c>
      <c r="CF106" s="0" t="s">
        <v>211</v>
      </c>
      <c r="CG106" s="0" t="s">
        <v>211</v>
      </c>
      <c r="CH106" s="1" t="n">
        <v>46112</v>
      </c>
      <c r="CI106" s="0" t="n">
        <v>1.2</v>
      </c>
      <c r="CJ106" s="0" t="n">
        <v>1.53</v>
      </c>
      <c r="CK106" s="0" t="n">
        <v>1.61</v>
      </c>
      <c r="CL106" s="0" t="s">
        <v>212</v>
      </c>
      <c r="DA106" s="0" t="n">
        <v>0.57</v>
      </c>
      <c r="DC106" s="0" t="n">
        <v>0.85</v>
      </c>
      <c r="DD106" s="0" t="s">
        <v>212</v>
      </c>
      <c r="ED106" s="0" t="s">
        <v>212</v>
      </c>
      <c r="EE106" s="0" t="n">
        <v>1.05</v>
      </c>
      <c r="EI106" s="0" t="n">
        <v>1.4</v>
      </c>
      <c r="FQ106" s="0" t="n">
        <v>12811538</v>
      </c>
    </row>
    <row r="107" customFormat="false" ht="15" hidden="false" customHeight="false" outlineLevel="0" collapsed="false">
      <c r="B107" s="0" t="str">
        <f aca="false">C107&amp;"x"&amp;I107</f>
        <v>61007x100220</v>
      </c>
      <c r="C107" s="0" t="n">
        <f aca="false">IF(G107="SINGLE",H107,G107)</f>
        <v>61007</v>
      </c>
      <c r="D107" s="0" t="e">
        <f aca="false">_xlfn.XLOOKUP(I107,calculations!$t:$t,calculations!$s:$s)</f>
        <v>#VALUE!</v>
      </c>
      <c r="E107" s="0" t="str">
        <f aca="false">_xlfn.XLOOKUP(I107,Mapping!$T:$T,Mapping!$Q:$Q)</f>
        <v>RIDG18</v>
      </c>
      <c r="F107" s="1" t="n">
        <v>46203</v>
      </c>
      <c r="G107" s="0" t="n">
        <v>61007</v>
      </c>
      <c r="H107" s="0" t="n">
        <v>61007</v>
      </c>
      <c r="I107" s="0" t="n">
        <v>100220</v>
      </c>
      <c r="J107" s="0" t="s">
        <v>430</v>
      </c>
      <c r="K107" s="0" t="s">
        <v>218</v>
      </c>
      <c r="L107" s="0" t="s">
        <v>218</v>
      </c>
      <c r="M107" s="0" t="s">
        <v>184</v>
      </c>
      <c r="N107" s="0" t="n">
        <v>8794000</v>
      </c>
      <c r="O107" s="0" t="n">
        <v>778230.09</v>
      </c>
      <c r="P107" s="0" t="s">
        <v>219</v>
      </c>
      <c r="Q107" s="0" t="s">
        <v>227</v>
      </c>
      <c r="R107" s="0" t="s">
        <v>187</v>
      </c>
      <c r="S107" s="0" t="s">
        <v>431</v>
      </c>
      <c r="T107" s="0" t="s">
        <v>189</v>
      </c>
      <c r="U107" s="0" t="s">
        <v>432</v>
      </c>
      <c r="V107" s="0" t="s">
        <v>433</v>
      </c>
      <c r="W107" s="0" t="s">
        <v>434</v>
      </c>
      <c r="X107" s="0" t="s">
        <v>435</v>
      </c>
      <c r="Y107" s="0" t="n">
        <v>9.6</v>
      </c>
      <c r="Z107" s="0" t="s">
        <v>436</v>
      </c>
      <c r="AA107" s="0" t="n">
        <v>11.3</v>
      </c>
      <c r="AB107" s="0" t="s">
        <v>202</v>
      </c>
      <c r="AC107" s="0" t="n">
        <v>9509000</v>
      </c>
      <c r="AD107" s="0" t="n">
        <v>9509000</v>
      </c>
      <c r="AE107" s="0" t="n">
        <v>841504.42</v>
      </c>
      <c r="AF107" s="0" t="n">
        <v>0.9248</v>
      </c>
      <c r="AG107" s="0" t="n">
        <v>8794000</v>
      </c>
      <c r="AH107" s="0" t="n">
        <v>8794000</v>
      </c>
      <c r="AI107" s="0" t="n">
        <v>715000</v>
      </c>
      <c r="AJ107" s="0" t="n">
        <v>9509000</v>
      </c>
      <c r="AK107" s="0" t="n">
        <v>8794000</v>
      </c>
      <c r="AL107" s="0" t="n">
        <v>8794000</v>
      </c>
      <c r="AM107" s="0" t="s">
        <v>194</v>
      </c>
      <c r="AN107" s="0" t="n">
        <v>5.742</v>
      </c>
      <c r="AO107" s="0" t="n">
        <v>4.982</v>
      </c>
      <c r="AP107" s="0" t="n">
        <v>4.488</v>
      </c>
      <c r="AQ107" s="0" t="n">
        <v>100</v>
      </c>
      <c r="AR107" s="0" t="n">
        <v>100</v>
      </c>
      <c r="AS107" s="1" t="n">
        <v>44201</v>
      </c>
      <c r="AT107" s="1" t="n">
        <v>50045</v>
      </c>
      <c r="AU107" s="1" t="n">
        <v>46295</v>
      </c>
      <c r="AV107" s="0" t="s">
        <v>437</v>
      </c>
      <c r="AW107" s="0" t="s">
        <v>299</v>
      </c>
      <c r="AX107" s="0" t="s">
        <v>187</v>
      </c>
      <c r="AY107" s="0" t="s">
        <v>438</v>
      </c>
      <c r="AZ107" s="0" t="s">
        <v>439</v>
      </c>
      <c r="BA107" s="0" t="s">
        <v>433</v>
      </c>
      <c r="BB107" s="0" t="s">
        <v>299</v>
      </c>
      <c r="BC107" s="0" t="s">
        <v>440</v>
      </c>
      <c r="BI107" s="0" t="n">
        <v>9509000</v>
      </c>
      <c r="BJ107" s="0" t="n">
        <v>841504.42</v>
      </c>
      <c r="BK107" s="0" t="s">
        <v>200</v>
      </c>
      <c r="BL107" s="0" t="s">
        <v>201</v>
      </c>
      <c r="BN107" s="0" t="n">
        <v>9.6</v>
      </c>
      <c r="BO107" s="0" t="n">
        <v>10.52</v>
      </c>
      <c r="BP107" s="0" t="s">
        <v>202</v>
      </c>
      <c r="BQ107" s="0" t="s">
        <v>187</v>
      </c>
      <c r="BR107" s="0" t="s">
        <v>203</v>
      </c>
      <c r="BS107" s="0" t="s">
        <v>441</v>
      </c>
      <c r="BT107" s="0" t="s">
        <v>224</v>
      </c>
      <c r="BU107" s="0" t="s">
        <v>224</v>
      </c>
      <c r="BW107" s="0" t="s">
        <v>257</v>
      </c>
      <c r="BX107" s="0" t="s">
        <v>217</v>
      </c>
      <c r="BY107" s="0" t="n">
        <v>190</v>
      </c>
      <c r="BZ107" s="0" t="n">
        <v>190</v>
      </c>
      <c r="CB107" s="0" t="s">
        <v>208</v>
      </c>
      <c r="CC107" s="0" t="s">
        <v>256</v>
      </c>
      <c r="CD107" s="0" t="s">
        <v>256</v>
      </c>
      <c r="CE107" s="0" t="s">
        <v>211</v>
      </c>
      <c r="CF107" s="0" t="s">
        <v>211</v>
      </c>
      <c r="CG107" s="0" t="s">
        <v>211</v>
      </c>
      <c r="CH107" s="1" t="n">
        <v>46112</v>
      </c>
      <c r="CI107" s="0" t="n">
        <v>1.2</v>
      </c>
      <c r="CJ107" s="0" t="n">
        <v>3.05</v>
      </c>
      <c r="CK107" s="0" t="n">
        <v>3.2</v>
      </c>
      <c r="CL107" s="0" t="s">
        <v>212</v>
      </c>
      <c r="DA107" s="0" t="n">
        <v>0.79</v>
      </c>
      <c r="DC107" s="0" t="n">
        <v>0.85</v>
      </c>
      <c r="DD107" s="0" t="s">
        <v>212</v>
      </c>
      <c r="ED107" s="0" t="s">
        <v>212</v>
      </c>
      <c r="EE107" s="0" t="n">
        <v>1.05</v>
      </c>
      <c r="EI107" s="0" t="n">
        <v>1.52</v>
      </c>
      <c r="FQ107" s="0" t="n">
        <v>16518828</v>
      </c>
    </row>
    <row r="108" customFormat="false" ht="15" hidden="false" customHeight="false" outlineLevel="0" collapsed="false">
      <c r="B108" s="0" t="str">
        <f aca="false">C108&amp;"x"&amp;I108</f>
        <v>61009x100221</v>
      </c>
      <c r="C108" s="0" t="n">
        <f aca="false">IF(G108="SINGLE",H108,G108)</f>
        <v>61009</v>
      </c>
      <c r="D108" s="0" t="e">
        <f aca="false">_xlfn.XLOOKUP(I108,calculations!$t:$t,calculations!$s:$s)</f>
        <v>#VALUE!</v>
      </c>
      <c r="E108" s="0" t="str">
        <f aca="false">_xlfn.XLOOKUP(I108,Mapping!$T:$T,Mapping!$Q:$Q)</f>
        <v>SUMM19</v>
      </c>
      <c r="F108" s="1" t="n">
        <v>46203</v>
      </c>
      <c r="G108" s="0" t="n">
        <v>61009</v>
      </c>
      <c r="H108" s="0" t="n">
        <v>61009</v>
      </c>
      <c r="I108" s="0" t="n">
        <v>100221</v>
      </c>
      <c r="J108" s="0" t="s">
        <v>442</v>
      </c>
      <c r="K108" s="0" t="s">
        <v>243</v>
      </c>
      <c r="L108" s="0" t="s">
        <v>243</v>
      </c>
      <c r="M108" s="0" t="s">
        <v>184</v>
      </c>
      <c r="N108" s="0" t="n">
        <v>97917000</v>
      </c>
      <c r="O108" s="0" t="n">
        <v>97917000</v>
      </c>
      <c r="P108" s="0" t="s">
        <v>244</v>
      </c>
      <c r="Q108" s="0" t="s">
        <v>227</v>
      </c>
      <c r="R108" s="0" t="s">
        <v>202</v>
      </c>
      <c r="S108" s="0" t="s">
        <v>443</v>
      </c>
      <c r="T108" s="0" t="s">
        <v>189</v>
      </c>
      <c r="U108" s="0" t="s">
        <v>357</v>
      </c>
      <c r="V108" s="0" t="s">
        <v>358</v>
      </c>
      <c r="W108" s="0" t="s">
        <v>309</v>
      </c>
      <c r="X108" s="0" t="s">
        <v>444</v>
      </c>
      <c r="Y108" s="0" t="n">
        <v>10.6</v>
      </c>
      <c r="Z108" s="0" t="s">
        <v>185</v>
      </c>
      <c r="AA108" s="0" t="n">
        <v>1</v>
      </c>
      <c r="AB108" s="0" t="s">
        <v>187</v>
      </c>
      <c r="AC108" s="0" t="n">
        <v>108258000</v>
      </c>
      <c r="AD108" s="0" t="n">
        <v>108258000</v>
      </c>
      <c r="AE108" s="0" t="n">
        <v>108258000</v>
      </c>
      <c r="AF108" s="0" t="n">
        <v>0.9045</v>
      </c>
      <c r="AG108" s="0" t="n">
        <v>97917000</v>
      </c>
      <c r="AH108" s="0" t="n">
        <v>97917000</v>
      </c>
      <c r="AI108" s="0" t="n">
        <v>10341000</v>
      </c>
      <c r="AJ108" s="0" t="n">
        <v>108258000</v>
      </c>
      <c r="AK108" s="0" t="n">
        <v>97917000</v>
      </c>
      <c r="AL108" s="0" t="n">
        <v>97917000</v>
      </c>
      <c r="AM108" s="0" t="s">
        <v>194</v>
      </c>
      <c r="AN108" s="0" t="n">
        <v>3.714</v>
      </c>
      <c r="AO108" s="0" t="n">
        <v>2.93</v>
      </c>
      <c r="AP108" s="0" t="n">
        <v>5.486</v>
      </c>
      <c r="AQ108" s="0" t="n">
        <v>100</v>
      </c>
      <c r="AR108" s="0" t="n">
        <v>100</v>
      </c>
      <c r="AS108" s="1" t="n">
        <v>44459</v>
      </c>
      <c r="AT108" s="1" t="n">
        <v>50484</v>
      </c>
      <c r="AU108" s="1" t="n">
        <v>46295</v>
      </c>
      <c r="AV108" s="0" t="s">
        <v>445</v>
      </c>
      <c r="AW108" s="0" t="s">
        <v>284</v>
      </c>
      <c r="AX108" s="0" t="s">
        <v>187</v>
      </c>
      <c r="AY108" s="0" t="s">
        <v>446</v>
      </c>
      <c r="AZ108" s="0" t="s">
        <v>447</v>
      </c>
      <c r="BA108" s="0" t="s">
        <v>358</v>
      </c>
      <c r="BB108" s="0" t="s">
        <v>284</v>
      </c>
      <c r="BC108" s="0" t="s">
        <v>448</v>
      </c>
      <c r="BI108" s="0" t="n">
        <v>108258000</v>
      </c>
      <c r="BJ108" s="0" t="n">
        <v>108258000</v>
      </c>
      <c r="BK108" s="0" t="s">
        <v>200</v>
      </c>
      <c r="BL108" s="0" t="s">
        <v>201</v>
      </c>
      <c r="BN108" s="0" t="n">
        <v>9.9</v>
      </c>
      <c r="BO108" s="0" t="n">
        <v>11.72</v>
      </c>
      <c r="BP108" s="0" t="s">
        <v>202</v>
      </c>
      <c r="BQ108" s="0" t="s">
        <v>187</v>
      </c>
      <c r="BR108" s="0" t="s">
        <v>203</v>
      </c>
      <c r="BS108" s="0" t="s">
        <v>449</v>
      </c>
      <c r="BT108" s="0" t="s">
        <v>205</v>
      </c>
      <c r="BU108" s="0" t="s">
        <v>269</v>
      </c>
      <c r="BW108" s="0" t="s">
        <v>206</v>
      </c>
      <c r="BX108" s="0" t="s">
        <v>207</v>
      </c>
      <c r="BY108" s="0" t="n">
        <v>235</v>
      </c>
      <c r="BZ108" s="0" t="n">
        <v>235</v>
      </c>
      <c r="CB108" s="0" t="s">
        <v>208</v>
      </c>
      <c r="CC108" s="0" t="s">
        <v>209</v>
      </c>
      <c r="CD108" s="0" t="s">
        <v>209</v>
      </c>
      <c r="CE108" s="0" t="s">
        <v>211</v>
      </c>
      <c r="CF108" s="0" t="s">
        <v>211</v>
      </c>
      <c r="CG108" s="0" t="s">
        <v>211</v>
      </c>
      <c r="CH108" s="1" t="n">
        <v>46112</v>
      </c>
      <c r="CI108" s="0" t="n">
        <v>1.2</v>
      </c>
      <c r="CJ108" s="0" t="n">
        <v>1.24</v>
      </c>
      <c r="CK108" s="0" t="n">
        <v>1.3</v>
      </c>
      <c r="CL108" s="0" t="s">
        <v>213</v>
      </c>
      <c r="DA108" s="0" t="n">
        <v>0.52</v>
      </c>
      <c r="DC108" s="0" t="n">
        <v>0.85</v>
      </c>
      <c r="DD108" s="0" t="s">
        <v>212</v>
      </c>
      <c r="ED108" s="0" t="s">
        <v>212</v>
      </c>
      <c r="EE108" s="0" t="n">
        <v>1.05</v>
      </c>
      <c r="EI108" s="0" t="n">
        <v>1.85</v>
      </c>
      <c r="FQ108" s="0" t="n">
        <v>81045066</v>
      </c>
    </row>
    <row r="109" customFormat="false" ht="15" hidden="false" customHeight="false" outlineLevel="0" collapsed="false">
      <c r="B109" s="0" t="str">
        <f aca="false">C109&amp;"x"&amp;I109</f>
        <v>61004x100221</v>
      </c>
      <c r="C109" s="0" t="n">
        <f aca="false">IF(G109="SINGLE",H109,G109)</f>
        <v>61004</v>
      </c>
      <c r="D109" s="0" t="e">
        <f aca="false">_xlfn.XLOOKUP(I109,calculations!$t:$t,calculations!$s:$s)</f>
        <v>#VALUE!</v>
      </c>
      <c r="E109" s="0" t="str">
        <f aca="false">_xlfn.XLOOKUP(I109,Mapping!$T:$T,Mapping!$Q:$Q)</f>
        <v>SUMM19</v>
      </c>
      <c r="F109" s="1" t="n">
        <v>46203</v>
      </c>
      <c r="G109" s="0" t="n">
        <v>61004</v>
      </c>
      <c r="H109" s="0" t="n">
        <v>61004</v>
      </c>
      <c r="I109" s="0" t="n">
        <v>100221</v>
      </c>
      <c r="J109" s="0" t="s">
        <v>442</v>
      </c>
      <c r="K109" s="0" t="s">
        <v>390</v>
      </c>
      <c r="L109" s="0" t="s">
        <v>390</v>
      </c>
      <c r="M109" s="0" t="s">
        <v>184</v>
      </c>
      <c r="N109" s="0" t="n">
        <v>88129000</v>
      </c>
      <c r="O109" s="0" t="n">
        <v>88129000</v>
      </c>
      <c r="P109" s="0" t="s">
        <v>185</v>
      </c>
      <c r="Q109" s="0" t="s">
        <v>227</v>
      </c>
      <c r="R109" s="0" t="s">
        <v>202</v>
      </c>
      <c r="S109" s="0" t="s">
        <v>443</v>
      </c>
      <c r="T109" s="0" t="s">
        <v>189</v>
      </c>
      <c r="U109" s="0" t="s">
        <v>357</v>
      </c>
      <c r="V109" s="0" t="s">
        <v>358</v>
      </c>
      <c r="W109" s="0" t="s">
        <v>309</v>
      </c>
      <c r="X109" s="0" t="s">
        <v>444</v>
      </c>
      <c r="Y109" s="0" t="n">
        <v>10.6</v>
      </c>
      <c r="Z109" s="0" t="s">
        <v>185</v>
      </c>
      <c r="AA109" s="0" t="n">
        <v>1</v>
      </c>
      <c r="AB109" s="0" t="s">
        <v>187</v>
      </c>
      <c r="AC109" s="0" t="n">
        <v>97436000</v>
      </c>
      <c r="AD109" s="0" t="n">
        <v>97436000</v>
      </c>
      <c r="AE109" s="0" t="n">
        <v>97436000</v>
      </c>
      <c r="AF109" s="0" t="n">
        <v>0.9045</v>
      </c>
      <c r="AG109" s="0" t="n">
        <v>88129000</v>
      </c>
      <c r="AH109" s="0" t="n">
        <v>88129000</v>
      </c>
      <c r="AI109" s="0" t="n">
        <v>9307000</v>
      </c>
      <c r="AJ109" s="0" t="n">
        <v>97436000</v>
      </c>
      <c r="AK109" s="0" t="n">
        <v>88129000</v>
      </c>
      <c r="AL109" s="0" t="n">
        <v>88129000</v>
      </c>
      <c r="AM109" s="0" t="s">
        <v>194</v>
      </c>
      <c r="AN109" s="0" t="n">
        <v>4.362</v>
      </c>
      <c r="AO109" s="0" t="n">
        <v>4.271</v>
      </c>
      <c r="AP109" s="0" t="n">
        <v>5.296</v>
      </c>
      <c r="AQ109" s="0" t="n">
        <v>100</v>
      </c>
      <c r="AR109" s="0" t="n">
        <v>100</v>
      </c>
      <c r="AS109" s="1" t="n">
        <v>44459</v>
      </c>
      <c r="AT109" s="1" t="n">
        <v>50484</v>
      </c>
      <c r="AU109" s="1" t="n">
        <v>46295</v>
      </c>
      <c r="AV109" s="0" t="s">
        <v>445</v>
      </c>
      <c r="AW109" s="0" t="s">
        <v>284</v>
      </c>
      <c r="AX109" s="0" t="s">
        <v>187</v>
      </c>
      <c r="AY109" s="0" t="s">
        <v>446</v>
      </c>
      <c r="AZ109" s="0" t="s">
        <v>447</v>
      </c>
      <c r="BA109" s="0" t="s">
        <v>358</v>
      </c>
      <c r="BB109" s="0" t="s">
        <v>284</v>
      </c>
      <c r="BC109" s="0" t="s">
        <v>448</v>
      </c>
      <c r="BI109" s="0" t="n">
        <v>97436000</v>
      </c>
      <c r="BJ109" s="0" t="n">
        <v>97436000</v>
      </c>
      <c r="BK109" s="0" t="s">
        <v>200</v>
      </c>
      <c r="BL109" s="0" t="s">
        <v>201</v>
      </c>
      <c r="BN109" s="0" t="n">
        <v>9.9</v>
      </c>
      <c r="BO109" s="0" t="n">
        <v>11.72</v>
      </c>
      <c r="BP109" s="0" t="s">
        <v>202</v>
      </c>
      <c r="BQ109" s="0" t="s">
        <v>187</v>
      </c>
      <c r="BR109" s="0" t="s">
        <v>203</v>
      </c>
      <c r="BS109" s="0" t="s">
        <v>449</v>
      </c>
      <c r="BT109" s="0" t="s">
        <v>205</v>
      </c>
      <c r="BU109" s="0" t="s">
        <v>269</v>
      </c>
      <c r="BW109" s="0" t="s">
        <v>206</v>
      </c>
      <c r="BX109" s="0" t="s">
        <v>207</v>
      </c>
      <c r="BY109" s="0" t="n">
        <v>235</v>
      </c>
      <c r="BZ109" s="0" t="n">
        <v>235</v>
      </c>
      <c r="CB109" s="0" t="s">
        <v>208</v>
      </c>
      <c r="CC109" s="0" t="s">
        <v>209</v>
      </c>
      <c r="CD109" s="0" t="s">
        <v>209</v>
      </c>
      <c r="CE109" s="0" t="s">
        <v>211</v>
      </c>
      <c r="CF109" s="0" t="s">
        <v>211</v>
      </c>
      <c r="CG109" s="0" t="s">
        <v>211</v>
      </c>
      <c r="CH109" s="1" t="n">
        <v>46112</v>
      </c>
      <c r="CI109" s="0" t="n">
        <v>1.2</v>
      </c>
      <c r="CJ109" s="0" t="n">
        <v>1.22</v>
      </c>
      <c r="CK109" s="0" t="n">
        <v>1.28</v>
      </c>
      <c r="CL109" s="0" t="s">
        <v>213</v>
      </c>
      <c r="DA109" s="0" t="n">
        <v>0.54</v>
      </c>
      <c r="DC109" s="0" t="n">
        <v>0.85</v>
      </c>
      <c r="DD109" s="0" t="s">
        <v>212</v>
      </c>
      <c r="ED109" s="0" t="s">
        <v>212</v>
      </c>
      <c r="EE109" s="0" t="n">
        <v>1.05</v>
      </c>
      <c r="EI109" s="0" t="n">
        <v>1.24</v>
      </c>
      <c r="FQ109" s="0" t="n">
        <v>83620697</v>
      </c>
    </row>
    <row r="110" customFormat="false" ht="15" hidden="false" customHeight="false" outlineLevel="0" collapsed="false">
      <c r="B110" s="0" t="str">
        <f aca="false">C110&amp;"x"&amp;I110</f>
        <v>61027x100221</v>
      </c>
      <c r="C110" s="0" t="n">
        <f aca="false">IF(G110="SINGLE",H110,G110)</f>
        <v>61027</v>
      </c>
      <c r="D110" s="0" t="e">
        <f aca="false">_xlfn.XLOOKUP(I110,calculations!$t:$t,calculations!$s:$s)</f>
        <v>#VALUE!</v>
      </c>
      <c r="E110" s="0" t="str">
        <f aca="false">_xlfn.XLOOKUP(I110,Mapping!$T:$T,Mapping!$Q:$Q)</f>
        <v>SUMM19</v>
      </c>
      <c r="F110" s="1" t="n">
        <v>46203</v>
      </c>
      <c r="G110" s="0" t="n">
        <v>61027</v>
      </c>
      <c r="H110" s="0" t="n">
        <v>61027</v>
      </c>
      <c r="I110" s="0" t="n">
        <v>100221</v>
      </c>
      <c r="J110" s="0" t="s">
        <v>442</v>
      </c>
      <c r="K110" s="0" t="s">
        <v>450</v>
      </c>
      <c r="L110" s="0" t="s">
        <v>450</v>
      </c>
      <c r="M110" s="0" t="s">
        <v>184</v>
      </c>
      <c r="N110" s="0" t="n">
        <v>73048000</v>
      </c>
      <c r="O110" s="0" t="n">
        <v>73048000</v>
      </c>
      <c r="P110" s="0" t="s">
        <v>185</v>
      </c>
      <c r="Q110" s="0" t="s">
        <v>227</v>
      </c>
      <c r="R110" s="0" t="s">
        <v>202</v>
      </c>
      <c r="S110" s="0" t="s">
        <v>443</v>
      </c>
      <c r="T110" s="0" t="s">
        <v>189</v>
      </c>
      <c r="U110" s="0" t="s">
        <v>357</v>
      </c>
      <c r="V110" s="0" t="s">
        <v>358</v>
      </c>
      <c r="W110" s="0" t="s">
        <v>309</v>
      </c>
      <c r="X110" s="0" t="s">
        <v>444</v>
      </c>
      <c r="Y110" s="0" t="n">
        <v>10.6</v>
      </c>
      <c r="Z110" s="0" t="s">
        <v>185</v>
      </c>
      <c r="AA110" s="0" t="n">
        <v>1</v>
      </c>
      <c r="AB110" s="0" t="s">
        <v>187</v>
      </c>
      <c r="AC110" s="0" t="n">
        <v>80763000</v>
      </c>
      <c r="AD110" s="0" t="n">
        <v>80763000</v>
      </c>
      <c r="AE110" s="0" t="n">
        <v>80763000</v>
      </c>
      <c r="AF110" s="0" t="n">
        <v>0.9045</v>
      </c>
      <c r="AG110" s="0" t="n">
        <v>73048000</v>
      </c>
      <c r="AH110" s="0" t="n">
        <v>73048000</v>
      </c>
      <c r="AI110" s="0" t="n">
        <v>7715000</v>
      </c>
      <c r="AJ110" s="0" t="n">
        <v>80763000</v>
      </c>
      <c r="AK110" s="0" t="n">
        <v>73048000</v>
      </c>
      <c r="AL110" s="0" t="n">
        <v>73048000</v>
      </c>
      <c r="AM110" s="0" t="s">
        <v>194</v>
      </c>
      <c r="AN110" s="0" t="n">
        <v>5.828</v>
      </c>
      <c r="AO110" s="0" t="n">
        <v>3.495</v>
      </c>
      <c r="AP110" s="0" t="n">
        <v>3.854</v>
      </c>
      <c r="AQ110" s="0" t="n">
        <v>100</v>
      </c>
      <c r="AR110" s="0" t="n">
        <v>100</v>
      </c>
      <c r="AS110" s="1" t="n">
        <v>44459</v>
      </c>
      <c r="AT110" s="1" t="n">
        <v>50484</v>
      </c>
      <c r="AU110" s="1" t="n">
        <v>46295</v>
      </c>
      <c r="AV110" s="0" t="s">
        <v>445</v>
      </c>
      <c r="AW110" s="0" t="s">
        <v>284</v>
      </c>
      <c r="AX110" s="0" t="s">
        <v>187</v>
      </c>
      <c r="AY110" s="0" t="s">
        <v>446</v>
      </c>
      <c r="AZ110" s="0" t="s">
        <v>447</v>
      </c>
      <c r="BA110" s="0" t="s">
        <v>358</v>
      </c>
      <c r="BB110" s="0" t="s">
        <v>284</v>
      </c>
      <c r="BC110" s="0" t="s">
        <v>448</v>
      </c>
      <c r="BI110" s="0" t="n">
        <v>80763000</v>
      </c>
      <c r="BJ110" s="0" t="n">
        <v>80763000</v>
      </c>
      <c r="BK110" s="0" t="s">
        <v>200</v>
      </c>
      <c r="BL110" s="0" t="s">
        <v>201</v>
      </c>
      <c r="BN110" s="0" t="n">
        <v>9.9</v>
      </c>
      <c r="BO110" s="0" t="n">
        <v>11.72</v>
      </c>
      <c r="BP110" s="0" t="s">
        <v>202</v>
      </c>
      <c r="BQ110" s="0" t="s">
        <v>187</v>
      </c>
      <c r="BR110" s="0" t="s">
        <v>203</v>
      </c>
      <c r="BS110" s="0" t="s">
        <v>449</v>
      </c>
      <c r="BT110" s="0" t="s">
        <v>205</v>
      </c>
      <c r="BU110" s="0" t="s">
        <v>205</v>
      </c>
      <c r="BW110" s="0" t="s">
        <v>257</v>
      </c>
      <c r="BX110" s="0" t="s">
        <v>207</v>
      </c>
      <c r="BY110" s="0" t="n">
        <v>235</v>
      </c>
      <c r="BZ110" s="0" t="n">
        <v>235</v>
      </c>
      <c r="CB110" s="0" t="s">
        <v>208</v>
      </c>
      <c r="CC110" s="0" t="s">
        <v>209</v>
      </c>
      <c r="CD110" s="0" t="s">
        <v>209</v>
      </c>
      <c r="CE110" s="0" t="s">
        <v>211</v>
      </c>
      <c r="CF110" s="0" t="s">
        <v>211</v>
      </c>
      <c r="CG110" s="0" t="s">
        <v>211</v>
      </c>
      <c r="CH110" s="1" t="n">
        <v>46112</v>
      </c>
      <c r="CI110" s="0" t="n">
        <v>1.2</v>
      </c>
      <c r="CJ110" s="0" t="n">
        <v>2.89</v>
      </c>
      <c r="CK110" s="0" t="n">
        <v>3.03</v>
      </c>
      <c r="CL110" s="0" t="s">
        <v>212</v>
      </c>
      <c r="DA110" s="0" t="n">
        <v>0.64</v>
      </c>
      <c r="DC110" s="0" t="n">
        <v>0.85</v>
      </c>
      <c r="DD110" s="0" t="s">
        <v>212</v>
      </c>
      <c r="ED110" s="0" t="s">
        <v>212</v>
      </c>
      <c r="EE110" s="0" t="n">
        <v>1.05</v>
      </c>
      <c r="EI110" s="0" t="n">
        <v>1.9</v>
      </c>
      <c r="FQ110" s="0" t="n">
        <v>84735120</v>
      </c>
    </row>
    <row r="111" customFormat="false" ht="15" hidden="false" customHeight="false" outlineLevel="0" collapsed="false">
      <c r="B111" s="0" t="str">
        <f aca="false">C111&amp;"x"&amp;I111</f>
        <v>61003x100221</v>
      </c>
      <c r="C111" s="0" t="n">
        <f aca="false">IF(G111="SINGLE",H111,G111)</f>
        <v>61003</v>
      </c>
      <c r="D111" s="0" t="e">
        <f aca="false">_xlfn.XLOOKUP(I111,calculations!$t:$t,calculations!$s:$s)</f>
        <v>#VALUE!</v>
      </c>
      <c r="E111" s="0" t="str">
        <f aca="false">_xlfn.XLOOKUP(I111,Mapping!$T:$T,Mapping!$Q:$Q)</f>
        <v>SUMM19</v>
      </c>
      <c r="F111" s="1" t="n">
        <v>46203</v>
      </c>
      <c r="G111" s="0" t="n">
        <v>61003</v>
      </c>
      <c r="H111" s="0" t="n">
        <v>61003</v>
      </c>
      <c r="I111" s="0" t="n">
        <v>100221</v>
      </c>
      <c r="J111" s="0" t="s">
        <v>442</v>
      </c>
      <c r="K111" s="0" t="s">
        <v>226</v>
      </c>
      <c r="L111" s="0" t="s">
        <v>226</v>
      </c>
      <c r="M111" s="0" t="s">
        <v>184</v>
      </c>
      <c r="N111" s="0" t="n">
        <v>68772000</v>
      </c>
      <c r="O111" s="0" t="n">
        <v>68772000</v>
      </c>
      <c r="P111" s="0" t="s">
        <v>185</v>
      </c>
      <c r="Q111" s="0" t="s">
        <v>227</v>
      </c>
      <c r="R111" s="0" t="s">
        <v>202</v>
      </c>
      <c r="S111" s="0" t="s">
        <v>443</v>
      </c>
      <c r="T111" s="0" t="s">
        <v>189</v>
      </c>
      <c r="U111" s="0" t="s">
        <v>357</v>
      </c>
      <c r="V111" s="0" t="s">
        <v>358</v>
      </c>
      <c r="W111" s="0" t="s">
        <v>309</v>
      </c>
      <c r="X111" s="0" t="s">
        <v>444</v>
      </c>
      <c r="Y111" s="0" t="n">
        <v>10.6</v>
      </c>
      <c r="Z111" s="0" t="s">
        <v>185</v>
      </c>
      <c r="AA111" s="0" t="n">
        <v>1</v>
      </c>
      <c r="AB111" s="0" t="s">
        <v>187</v>
      </c>
      <c r="AC111" s="0" t="n">
        <v>76035000</v>
      </c>
      <c r="AD111" s="0" t="n">
        <v>76035000</v>
      </c>
      <c r="AE111" s="0" t="n">
        <v>76035000</v>
      </c>
      <c r="AF111" s="0" t="n">
        <v>0.9045</v>
      </c>
      <c r="AG111" s="0" t="n">
        <v>68772000</v>
      </c>
      <c r="AH111" s="0" t="n">
        <v>68772000</v>
      </c>
      <c r="AI111" s="0" t="n">
        <v>7263000</v>
      </c>
      <c r="AJ111" s="0" t="n">
        <v>76035000</v>
      </c>
      <c r="AK111" s="0" t="n">
        <v>68772000</v>
      </c>
      <c r="AL111" s="0" t="n">
        <v>68772000</v>
      </c>
      <c r="AM111" s="0" t="s">
        <v>194</v>
      </c>
      <c r="AN111" s="0" t="n">
        <v>2.803</v>
      </c>
      <c r="AO111" s="0" t="n">
        <v>6.453</v>
      </c>
      <c r="AP111" s="0" t="n">
        <v>2.508</v>
      </c>
      <c r="AQ111" s="0" t="n">
        <v>100</v>
      </c>
      <c r="AR111" s="0" t="n">
        <v>100</v>
      </c>
      <c r="AS111" s="1" t="n">
        <v>44459</v>
      </c>
      <c r="AT111" s="1" t="n">
        <v>50484</v>
      </c>
      <c r="AU111" s="1" t="n">
        <v>46295</v>
      </c>
      <c r="AV111" s="0" t="s">
        <v>445</v>
      </c>
      <c r="AW111" s="0" t="s">
        <v>284</v>
      </c>
      <c r="AX111" s="0" t="s">
        <v>187</v>
      </c>
      <c r="AY111" s="0" t="s">
        <v>446</v>
      </c>
      <c r="AZ111" s="0" t="s">
        <v>447</v>
      </c>
      <c r="BA111" s="0" t="s">
        <v>358</v>
      </c>
      <c r="BB111" s="0" t="s">
        <v>284</v>
      </c>
      <c r="BC111" s="0" t="s">
        <v>448</v>
      </c>
      <c r="BI111" s="0" t="n">
        <v>76035000</v>
      </c>
      <c r="BJ111" s="0" t="n">
        <v>76035000</v>
      </c>
      <c r="BK111" s="0" t="s">
        <v>200</v>
      </c>
      <c r="BL111" s="0" t="s">
        <v>201</v>
      </c>
      <c r="BN111" s="0" t="n">
        <v>9.9</v>
      </c>
      <c r="BO111" s="0" t="n">
        <v>11.72</v>
      </c>
      <c r="BP111" s="0" t="s">
        <v>202</v>
      </c>
      <c r="BQ111" s="0" t="s">
        <v>187</v>
      </c>
      <c r="BR111" s="0" t="s">
        <v>203</v>
      </c>
      <c r="BS111" s="0" t="s">
        <v>449</v>
      </c>
      <c r="BT111" s="0" t="s">
        <v>205</v>
      </c>
      <c r="BU111" s="0" t="s">
        <v>224</v>
      </c>
      <c r="BW111" s="0" t="s">
        <v>257</v>
      </c>
      <c r="BX111" s="0" t="s">
        <v>217</v>
      </c>
      <c r="BY111" s="0" t="n">
        <v>235</v>
      </c>
      <c r="BZ111" s="0" t="n">
        <v>235</v>
      </c>
      <c r="CB111" s="0" t="s">
        <v>208</v>
      </c>
      <c r="CC111" s="0" t="s">
        <v>209</v>
      </c>
      <c r="CD111" s="0" t="s">
        <v>209</v>
      </c>
      <c r="CE111" s="0" t="s">
        <v>211</v>
      </c>
      <c r="CF111" s="0" t="s">
        <v>211</v>
      </c>
      <c r="CG111" s="0" t="s">
        <v>211</v>
      </c>
      <c r="CH111" s="1" t="n">
        <v>46112</v>
      </c>
      <c r="CI111" s="0" t="n">
        <v>1.2</v>
      </c>
      <c r="CJ111" s="0" t="n">
        <v>1.51</v>
      </c>
      <c r="CK111" s="0" t="n">
        <v>1.59</v>
      </c>
      <c r="CL111" s="0" t="s">
        <v>212</v>
      </c>
      <c r="DA111" s="0" t="n">
        <v>0.48</v>
      </c>
      <c r="DC111" s="0" t="n">
        <v>0.85</v>
      </c>
      <c r="DD111" s="0" t="s">
        <v>212</v>
      </c>
      <c r="ED111" s="0" t="s">
        <v>212</v>
      </c>
      <c r="EE111" s="0" t="n">
        <v>1.05</v>
      </c>
      <c r="EI111" s="0" t="n">
        <v>1.25</v>
      </c>
      <c r="FQ111" s="0" t="n">
        <v>91418951</v>
      </c>
    </row>
    <row r="112" customFormat="false" ht="15" hidden="false" customHeight="false" outlineLevel="0" collapsed="false">
      <c r="B112" s="0" t="str">
        <f aca="false">C112&amp;"x"&amp;I112</f>
        <v>61016x100222</v>
      </c>
      <c r="C112" s="0" t="n">
        <f aca="false">IF(G112="SINGLE",H112,G112)</f>
        <v>61016</v>
      </c>
      <c r="D112" s="0" t="e">
        <f aca="false">_xlfn.XLOOKUP(I112,calculations!$t:$t,calculations!$s:$s)</f>
        <v>#VALUE!</v>
      </c>
      <c r="E112" s="0" t="str">
        <f aca="false">_xlfn.XLOOKUP(I112,Mapping!$T:$T,Mapping!$Q:$Q)</f>
        <v>TIDA20</v>
      </c>
      <c r="F112" s="1" t="n">
        <v>46203</v>
      </c>
      <c r="G112" s="0" t="n">
        <v>61016</v>
      </c>
      <c r="H112" s="0" t="n">
        <v>61016</v>
      </c>
      <c r="I112" s="0" t="n">
        <v>100222</v>
      </c>
      <c r="J112" s="0" t="s">
        <v>451</v>
      </c>
      <c r="K112" s="0" t="s">
        <v>343</v>
      </c>
      <c r="L112" s="0" t="s">
        <v>343</v>
      </c>
      <c r="M112" s="0" t="s">
        <v>184</v>
      </c>
      <c r="N112" s="0" t="n">
        <v>54708000</v>
      </c>
      <c r="O112" s="0" t="n">
        <v>54708000</v>
      </c>
      <c r="P112" s="0" t="s">
        <v>185</v>
      </c>
      <c r="Q112" s="0" t="s">
        <v>227</v>
      </c>
      <c r="R112" s="0" t="s">
        <v>202</v>
      </c>
      <c r="S112" s="0" t="s">
        <v>452</v>
      </c>
      <c r="T112" s="0" t="s">
        <v>189</v>
      </c>
      <c r="U112" s="0" t="s">
        <v>453</v>
      </c>
      <c r="V112" s="0" t="s">
        <v>454</v>
      </c>
      <c r="W112" s="0" t="s">
        <v>324</v>
      </c>
      <c r="X112" s="0" t="s">
        <v>455</v>
      </c>
      <c r="Y112" s="0" t="n">
        <v>7.3</v>
      </c>
      <c r="Z112" s="0" t="s">
        <v>185</v>
      </c>
      <c r="AA112" s="0" t="n">
        <v>1</v>
      </c>
      <c r="AB112" s="0" t="s">
        <v>187</v>
      </c>
      <c r="AC112" s="0" t="n">
        <v>60125000</v>
      </c>
      <c r="AD112" s="0" t="n">
        <v>60125000</v>
      </c>
      <c r="AE112" s="0" t="n">
        <v>60125000</v>
      </c>
      <c r="AF112" s="0" t="n">
        <v>0.9099</v>
      </c>
      <c r="AG112" s="0" t="n">
        <v>54708000</v>
      </c>
      <c r="AH112" s="0" t="n">
        <v>54708000</v>
      </c>
      <c r="AI112" s="0" t="n">
        <v>5417000</v>
      </c>
      <c r="AJ112" s="0" t="n">
        <v>60125000</v>
      </c>
      <c r="AK112" s="0" t="n">
        <v>54708000</v>
      </c>
      <c r="AL112" s="0" t="n">
        <v>54708000</v>
      </c>
      <c r="AM112" s="0" t="s">
        <v>194</v>
      </c>
      <c r="AN112" s="0" t="n">
        <v>3.677</v>
      </c>
      <c r="AO112" s="0" t="n">
        <v>4.796</v>
      </c>
      <c r="AP112" s="0" t="n">
        <v>3.95</v>
      </c>
      <c r="AQ112" s="0" t="n">
        <v>100</v>
      </c>
      <c r="AR112" s="0" t="n">
        <v>100</v>
      </c>
      <c r="AS112" s="1" t="n">
        <v>44292</v>
      </c>
      <c r="AT112" s="1" t="n">
        <v>49588</v>
      </c>
      <c r="AU112" s="1" t="n">
        <v>46295</v>
      </c>
      <c r="AV112" s="0" t="s">
        <v>456</v>
      </c>
      <c r="AW112" s="0" t="s">
        <v>327</v>
      </c>
      <c r="AX112" s="0" t="s">
        <v>187</v>
      </c>
      <c r="AY112" s="0" t="s">
        <v>457</v>
      </c>
      <c r="AZ112" s="0" t="s">
        <v>458</v>
      </c>
      <c r="BA112" s="0" t="s">
        <v>454</v>
      </c>
      <c r="BB112" s="0" t="s">
        <v>327</v>
      </c>
      <c r="BC112" s="0" t="s">
        <v>459</v>
      </c>
      <c r="BI112" s="0" t="n">
        <v>60125000</v>
      </c>
      <c r="BJ112" s="0" t="n">
        <v>60125000</v>
      </c>
      <c r="BK112" s="0" t="s">
        <v>200</v>
      </c>
      <c r="BL112" s="0" t="s">
        <v>201</v>
      </c>
      <c r="BN112" s="0" t="n">
        <v>8.7</v>
      </c>
      <c r="BO112" s="0" t="n">
        <v>9.27</v>
      </c>
      <c r="BP112" s="0" t="s">
        <v>202</v>
      </c>
      <c r="BQ112" s="0" t="s">
        <v>187</v>
      </c>
      <c r="BR112" s="0" t="s">
        <v>203</v>
      </c>
      <c r="BS112" s="0" t="s">
        <v>460</v>
      </c>
      <c r="BT112" s="0" t="s">
        <v>255</v>
      </c>
      <c r="BU112" s="0" t="s">
        <v>224</v>
      </c>
      <c r="BW112" s="0" t="s">
        <v>206</v>
      </c>
      <c r="BX112" s="0" t="s">
        <v>217</v>
      </c>
      <c r="BY112" s="0" t="n">
        <v>180</v>
      </c>
      <c r="BZ112" s="0" t="n">
        <v>180</v>
      </c>
      <c r="CB112" s="0" t="s">
        <v>208</v>
      </c>
      <c r="CC112" s="0" t="s">
        <v>239</v>
      </c>
      <c r="CD112" s="0" t="s">
        <v>239</v>
      </c>
      <c r="CE112" s="0" t="s">
        <v>211</v>
      </c>
      <c r="CF112" s="0" t="s">
        <v>211</v>
      </c>
      <c r="CG112" s="0" t="s">
        <v>211</v>
      </c>
      <c r="CH112" s="1" t="n">
        <v>46112</v>
      </c>
      <c r="CI112" s="0" t="n">
        <v>1.2</v>
      </c>
      <c r="CJ112" s="0" t="n">
        <v>1.71</v>
      </c>
      <c r="CK112" s="0" t="n">
        <v>1.8</v>
      </c>
      <c r="CL112" s="0" t="s">
        <v>212</v>
      </c>
      <c r="DA112" s="0" t="n">
        <v>0.62</v>
      </c>
      <c r="DC112" s="0" t="n">
        <v>0.85</v>
      </c>
      <c r="DD112" s="0" t="s">
        <v>212</v>
      </c>
      <c r="ED112" s="0" t="s">
        <v>212</v>
      </c>
      <c r="EE112" s="0" t="n">
        <v>1.05</v>
      </c>
      <c r="EI112" s="0" t="n">
        <v>1.97</v>
      </c>
      <c r="FQ112" s="0" t="n">
        <v>28374719</v>
      </c>
    </row>
    <row r="113" customFormat="false" ht="15" hidden="false" customHeight="false" outlineLevel="0" collapsed="false">
      <c r="B113" s="0" t="str">
        <f aca="false">C113&amp;"x"&amp;I113</f>
        <v>61010x100222</v>
      </c>
      <c r="C113" s="0" t="n">
        <f aca="false">IF(G113="SINGLE",H113,G113)</f>
        <v>61010</v>
      </c>
      <c r="D113" s="0" t="e">
        <f aca="false">_xlfn.XLOOKUP(I113,calculations!$t:$t,calculations!$s:$s)</f>
        <v>#VALUE!</v>
      </c>
      <c r="E113" s="0" t="str">
        <f aca="false">_xlfn.XLOOKUP(I113,Mapping!$T:$T,Mapping!$Q:$Q)</f>
        <v>TIDA20</v>
      </c>
      <c r="F113" s="1" t="n">
        <v>46203</v>
      </c>
      <c r="G113" s="0" t="n">
        <v>61010</v>
      </c>
      <c r="H113" s="0" t="n">
        <v>61010</v>
      </c>
      <c r="I113" s="0" t="n">
        <v>100222</v>
      </c>
      <c r="J113" s="0" t="s">
        <v>451</v>
      </c>
      <c r="K113" s="0" t="s">
        <v>461</v>
      </c>
      <c r="L113" s="0" t="s">
        <v>461</v>
      </c>
      <c r="M113" s="0" t="s">
        <v>184</v>
      </c>
      <c r="N113" s="0" t="n">
        <v>73296000</v>
      </c>
      <c r="O113" s="0" t="n">
        <v>73296000</v>
      </c>
      <c r="P113" s="0" t="s">
        <v>185</v>
      </c>
      <c r="Q113" s="0" t="s">
        <v>227</v>
      </c>
      <c r="R113" s="0" t="s">
        <v>202</v>
      </c>
      <c r="S113" s="0" t="s">
        <v>452</v>
      </c>
      <c r="T113" s="0" t="s">
        <v>189</v>
      </c>
      <c r="U113" s="0" t="s">
        <v>453</v>
      </c>
      <c r="V113" s="0" t="s">
        <v>454</v>
      </c>
      <c r="W113" s="0" t="s">
        <v>324</v>
      </c>
      <c r="X113" s="0" t="s">
        <v>455</v>
      </c>
      <c r="Y113" s="0" t="n">
        <v>7.3</v>
      </c>
      <c r="Z113" s="0" t="s">
        <v>185</v>
      </c>
      <c r="AA113" s="0" t="n">
        <v>1</v>
      </c>
      <c r="AB113" s="0" t="s">
        <v>187</v>
      </c>
      <c r="AC113" s="0" t="n">
        <v>80554000</v>
      </c>
      <c r="AD113" s="0" t="n">
        <v>80554000</v>
      </c>
      <c r="AE113" s="0" t="n">
        <v>80554000</v>
      </c>
      <c r="AF113" s="0" t="n">
        <v>0.9099</v>
      </c>
      <c r="AG113" s="0" t="n">
        <v>73296000</v>
      </c>
      <c r="AH113" s="0" t="n">
        <v>73296000</v>
      </c>
      <c r="AI113" s="0" t="n">
        <v>7258000</v>
      </c>
      <c r="AJ113" s="0" t="n">
        <v>80554000</v>
      </c>
      <c r="AK113" s="0" t="n">
        <v>73296000</v>
      </c>
      <c r="AL113" s="0" t="n">
        <v>73296000</v>
      </c>
      <c r="AM113" s="0" t="s">
        <v>194</v>
      </c>
      <c r="AN113" s="0" t="n">
        <v>5.48</v>
      </c>
      <c r="AO113" s="0" t="n">
        <v>5.52</v>
      </c>
      <c r="AP113" s="0" t="n">
        <v>6.494</v>
      </c>
      <c r="AQ113" s="0" t="n">
        <v>100</v>
      </c>
      <c r="AR113" s="0" t="n">
        <v>100</v>
      </c>
      <c r="AS113" s="1" t="n">
        <v>44292</v>
      </c>
      <c r="AT113" s="1" t="n">
        <v>49588</v>
      </c>
      <c r="AU113" s="1" t="n">
        <v>46295</v>
      </c>
      <c r="AV113" s="0" t="s">
        <v>456</v>
      </c>
      <c r="AW113" s="0" t="s">
        <v>327</v>
      </c>
      <c r="AX113" s="0" t="s">
        <v>187</v>
      </c>
      <c r="AY113" s="0" t="s">
        <v>457</v>
      </c>
      <c r="AZ113" s="0" t="s">
        <v>458</v>
      </c>
      <c r="BA113" s="0" t="s">
        <v>454</v>
      </c>
      <c r="BB113" s="0" t="s">
        <v>327</v>
      </c>
      <c r="BC113" s="0" t="s">
        <v>459</v>
      </c>
      <c r="BI113" s="0" t="n">
        <v>80554000</v>
      </c>
      <c r="BJ113" s="0" t="n">
        <v>80554000</v>
      </c>
      <c r="BK113" s="0" t="s">
        <v>200</v>
      </c>
      <c r="BL113" s="0" t="s">
        <v>201</v>
      </c>
      <c r="BN113" s="0" t="n">
        <v>8.7</v>
      </c>
      <c r="BO113" s="0" t="n">
        <v>9.27</v>
      </c>
      <c r="BP113" s="0" t="s">
        <v>202</v>
      </c>
      <c r="BQ113" s="0" t="s">
        <v>187</v>
      </c>
      <c r="BR113" s="0" t="s">
        <v>203</v>
      </c>
      <c r="BS113" s="0" t="s">
        <v>460</v>
      </c>
      <c r="BT113" s="0" t="s">
        <v>255</v>
      </c>
      <c r="BU113" s="0" t="s">
        <v>216</v>
      </c>
      <c r="BW113" s="0" t="s">
        <v>257</v>
      </c>
      <c r="BX113" s="0" t="s">
        <v>207</v>
      </c>
      <c r="BY113" s="0" t="n">
        <v>180</v>
      </c>
      <c r="BZ113" s="0" t="n">
        <v>180</v>
      </c>
      <c r="CB113" s="0" t="s">
        <v>208</v>
      </c>
      <c r="CC113" s="0" t="s">
        <v>239</v>
      </c>
      <c r="CD113" s="0" t="s">
        <v>239</v>
      </c>
      <c r="CE113" s="0" t="s">
        <v>211</v>
      </c>
      <c r="CF113" s="0" t="s">
        <v>211</v>
      </c>
      <c r="CG113" s="0" t="s">
        <v>211</v>
      </c>
      <c r="CH113" s="1" t="n">
        <v>46112</v>
      </c>
      <c r="CI113" s="0" t="n">
        <v>1.2</v>
      </c>
      <c r="CJ113" s="0" t="n">
        <v>2.79</v>
      </c>
      <c r="CK113" s="0" t="n">
        <v>2.93</v>
      </c>
      <c r="CL113" s="0" t="s">
        <v>212</v>
      </c>
      <c r="DA113" s="0" t="n">
        <v>0.64</v>
      </c>
      <c r="DC113" s="0" t="n">
        <v>0.85</v>
      </c>
      <c r="DD113" s="0" t="s">
        <v>212</v>
      </c>
      <c r="ED113" s="0" t="s">
        <v>213</v>
      </c>
      <c r="EE113" s="0" t="n">
        <v>1.05</v>
      </c>
      <c r="EI113" s="0" t="n">
        <v>1.15</v>
      </c>
      <c r="FQ113" s="0" t="n">
        <v>41285331</v>
      </c>
    </row>
    <row r="114" customFormat="false" ht="15" hidden="false" customHeight="false" outlineLevel="0" collapsed="false">
      <c r="B114" s="0" t="str">
        <f aca="false">C114&amp;"x"&amp;I114</f>
        <v>61012x100223</v>
      </c>
      <c r="C114" s="0" t="n">
        <f aca="false">IF(G114="SINGLE",H114,G114)</f>
        <v>61012</v>
      </c>
      <c r="D114" s="0" t="e">
        <f aca="false">_xlfn.XLOOKUP(I114,calculations!$t:$t,calculations!$s:$s)</f>
        <v>#VALUE!</v>
      </c>
      <c r="E114" s="0" t="str">
        <f aca="false">_xlfn.XLOOKUP(I114,Mapping!$T:$T,Mapping!$Q:$Q)</f>
        <v>UMBR21</v>
      </c>
      <c r="F114" s="1" t="n">
        <v>46203</v>
      </c>
      <c r="G114" s="0" t="n">
        <v>61012</v>
      </c>
      <c r="H114" s="0" t="n">
        <v>61012</v>
      </c>
      <c r="I114" s="0" t="n">
        <v>100223</v>
      </c>
      <c r="J114" s="0" t="s">
        <v>462</v>
      </c>
      <c r="K114" s="0" t="s">
        <v>332</v>
      </c>
      <c r="L114" s="0" t="s">
        <v>332</v>
      </c>
      <c r="M114" s="0" t="s">
        <v>184</v>
      </c>
      <c r="N114" s="0" t="n">
        <v>27526000</v>
      </c>
      <c r="O114" s="0" t="n">
        <v>28672916.67</v>
      </c>
      <c r="P114" s="0" t="s">
        <v>219</v>
      </c>
      <c r="Q114" s="0" t="s">
        <v>227</v>
      </c>
      <c r="R114" s="0" t="s">
        <v>187</v>
      </c>
      <c r="S114" s="0" t="s">
        <v>463</v>
      </c>
      <c r="T114" s="0" t="s">
        <v>189</v>
      </c>
      <c r="U114" s="0" t="s">
        <v>412</v>
      </c>
      <c r="V114" s="0" t="s">
        <v>413</v>
      </c>
      <c r="W114" s="0" t="s">
        <v>464</v>
      </c>
      <c r="X114" s="0" t="s">
        <v>465</v>
      </c>
      <c r="Y114" s="0" t="n">
        <v>5.6</v>
      </c>
      <c r="Z114" s="0" t="s">
        <v>415</v>
      </c>
      <c r="AA114" s="0" t="n">
        <v>0.96</v>
      </c>
      <c r="AB114" s="0" t="s">
        <v>202</v>
      </c>
      <c r="AC114" s="0" t="n">
        <v>43445000</v>
      </c>
      <c r="AD114" s="0" t="n">
        <v>43445000</v>
      </c>
      <c r="AE114" s="0" t="n">
        <v>45255208.33</v>
      </c>
      <c r="AF114" s="0" t="n">
        <v>0.6336</v>
      </c>
      <c r="AG114" s="0" t="n">
        <v>27526000</v>
      </c>
      <c r="AH114" s="0" t="n">
        <v>27526000</v>
      </c>
      <c r="AI114" s="0" t="n">
        <v>15919000</v>
      </c>
      <c r="AJ114" s="0" t="n">
        <v>43445000</v>
      </c>
      <c r="AK114" s="0" t="n">
        <v>27526000</v>
      </c>
      <c r="AL114" s="0" t="n">
        <v>27526000</v>
      </c>
      <c r="AN114" s="0" t="n">
        <v>5.542</v>
      </c>
      <c r="AO114" s="0" t="n">
        <v>3.978</v>
      </c>
      <c r="AP114" s="0" t="n">
        <v>4.096</v>
      </c>
      <c r="AQ114" s="0" t="n">
        <v>100</v>
      </c>
      <c r="AR114" s="0" t="n">
        <v>100</v>
      </c>
      <c r="AS114" s="1" t="n">
        <v>43888</v>
      </c>
      <c r="AT114" s="1" t="n">
        <v>46992</v>
      </c>
      <c r="AU114" s="1" t="n">
        <v>46295</v>
      </c>
      <c r="AV114" s="0" t="s">
        <v>466</v>
      </c>
      <c r="AW114" s="0" t="s">
        <v>327</v>
      </c>
      <c r="AX114" s="0" t="s">
        <v>187</v>
      </c>
      <c r="AY114" s="0" t="s">
        <v>467</v>
      </c>
      <c r="AZ114" s="0" t="s">
        <v>468</v>
      </c>
      <c r="BA114" s="0" t="s">
        <v>413</v>
      </c>
      <c r="BB114" s="0" t="s">
        <v>327</v>
      </c>
      <c r="BC114" s="0" t="s">
        <v>469</v>
      </c>
      <c r="BI114" s="0" t="n">
        <v>43445000</v>
      </c>
      <c r="BJ114" s="0" t="n">
        <v>45255208.33</v>
      </c>
      <c r="BK114" s="0" t="s">
        <v>253</v>
      </c>
      <c r="BL114" s="0" t="s">
        <v>201</v>
      </c>
      <c r="BN114" s="0" t="n">
        <v>5.1</v>
      </c>
      <c r="BO114" s="0" t="n">
        <v>2.16</v>
      </c>
      <c r="BP114" s="0" t="s">
        <v>187</v>
      </c>
      <c r="BQ114" s="0" t="s">
        <v>187</v>
      </c>
      <c r="BR114" s="0" t="s">
        <v>203</v>
      </c>
      <c r="BS114" s="0" t="s">
        <v>470</v>
      </c>
      <c r="BT114" s="0" t="s">
        <v>269</v>
      </c>
      <c r="BU114" s="0" t="s">
        <v>220</v>
      </c>
      <c r="BW114" s="0" t="s">
        <v>206</v>
      </c>
      <c r="BX114" s="0" t="s">
        <v>207</v>
      </c>
      <c r="BY114" s="0" t="n">
        <v>170</v>
      </c>
      <c r="BZ114" s="0" t="n">
        <v>170</v>
      </c>
      <c r="CC114" s="0" t="s">
        <v>239</v>
      </c>
      <c r="CD114" s="0" t="s">
        <v>239</v>
      </c>
      <c r="CE114" s="0" t="s">
        <v>409</v>
      </c>
      <c r="CF114" s="0" t="s">
        <v>211</v>
      </c>
      <c r="CG114" s="0" t="s">
        <v>240</v>
      </c>
      <c r="CH114" s="1" t="n">
        <v>46112</v>
      </c>
      <c r="CI114" s="0" t="n">
        <v>1.2</v>
      </c>
      <c r="CJ114" s="0" t="n">
        <v>3.48</v>
      </c>
      <c r="CK114" s="0" t="n">
        <v>3.65</v>
      </c>
      <c r="CL114" s="0" t="s">
        <v>212</v>
      </c>
      <c r="DA114" s="0" t="n">
        <v>0.84</v>
      </c>
      <c r="DC114" s="0" t="n">
        <v>0.85</v>
      </c>
      <c r="DD114" s="0" t="s">
        <v>213</v>
      </c>
      <c r="ED114" s="0" t="s">
        <v>213</v>
      </c>
      <c r="EE114" s="0" t="n">
        <v>1.05</v>
      </c>
      <c r="EI114" s="0" t="n">
        <v>1.19</v>
      </c>
      <c r="FQ114" s="0" t="n">
        <v>54270954</v>
      </c>
    </row>
    <row r="115" customFormat="false" ht="15" hidden="false" customHeight="false" outlineLevel="0" collapsed="false">
      <c r="B115" s="0" t="str">
        <f aca="false">C115&amp;"x"&amp;I115</f>
        <v>61015x100223</v>
      </c>
      <c r="C115" s="0" t="n">
        <f aca="false">IF(G115="SINGLE",H115,G115)</f>
        <v>61015</v>
      </c>
      <c r="D115" s="0" t="e">
        <f aca="false">_xlfn.XLOOKUP(I115,calculations!$t:$t,calculations!$s:$s)</f>
        <v>#VALUE!</v>
      </c>
      <c r="E115" s="0" t="str">
        <f aca="false">_xlfn.XLOOKUP(I115,Mapping!$T:$T,Mapping!$Q:$Q)</f>
        <v>UMBR21</v>
      </c>
      <c r="F115" s="1" t="n">
        <v>46203</v>
      </c>
      <c r="G115" s="0" t="n">
        <v>61015</v>
      </c>
      <c r="H115" s="0" t="n">
        <v>61015</v>
      </c>
      <c r="I115" s="0" t="n">
        <v>100223</v>
      </c>
      <c r="J115" s="0" t="s">
        <v>462</v>
      </c>
      <c r="K115" s="0" t="s">
        <v>215</v>
      </c>
      <c r="L115" s="0" t="s">
        <v>215</v>
      </c>
      <c r="M115" s="0" t="s">
        <v>184</v>
      </c>
      <c r="N115" s="0" t="n">
        <v>12194000</v>
      </c>
      <c r="O115" s="0" t="n">
        <v>12702083.33</v>
      </c>
      <c r="P115" s="0" t="s">
        <v>185</v>
      </c>
      <c r="Q115" s="0" t="s">
        <v>227</v>
      </c>
      <c r="R115" s="0" t="s">
        <v>187</v>
      </c>
      <c r="S115" s="0" t="s">
        <v>463</v>
      </c>
      <c r="T115" s="0" t="s">
        <v>189</v>
      </c>
      <c r="U115" s="0" t="s">
        <v>412</v>
      </c>
      <c r="V115" s="0" t="s">
        <v>413</v>
      </c>
      <c r="W115" s="0" t="s">
        <v>464</v>
      </c>
      <c r="X115" s="0" t="s">
        <v>465</v>
      </c>
      <c r="Y115" s="0" t="n">
        <v>5.6</v>
      </c>
      <c r="Z115" s="0" t="s">
        <v>415</v>
      </c>
      <c r="AA115" s="0" t="n">
        <v>0.96</v>
      </c>
      <c r="AB115" s="0" t="s">
        <v>202</v>
      </c>
      <c r="AC115" s="0" t="n">
        <v>19246000</v>
      </c>
      <c r="AD115" s="0" t="n">
        <v>19246000</v>
      </c>
      <c r="AE115" s="0" t="n">
        <v>20047916.67</v>
      </c>
      <c r="AF115" s="0" t="n">
        <v>0.6336</v>
      </c>
      <c r="AG115" s="0" t="n">
        <v>12194000</v>
      </c>
      <c r="AH115" s="0" t="n">
        <v>12194000</v>
      </c>
      <c r="AI115" s="0" t="n">
        <v>7052000</v>
      </c>
      <c r="AJ115" s="0" t="n">
        <v>19246000</v>
      </c>
      <c r="AK115" s="0" t="n">
        <v>12194000</v>
      </c>
      <c r="AL115" s="0" t="n">
        <v>12194000</v>
      </c>
      <c r="AN115" s="0" t="n">
        <v>3.382</v>
      </c>
      <c r="AO115" s="0" t="n">
        <v>3.558</v>
      </c>
      <c r="AP115" s="0" t="n">
        <v>2.562</v>
      </c>
      <c r="AQ115" s="0" t="n">
        <v>100</v>
      </c>
      <c r="AR115" s="0" t="n">
        <v>100</v>
      </c>
      <c r="AS115" s="1" t="n">
        <v>43888</v>
      </c>
      <c r="AT115" s="1" t="n">
        <v>46992</v>
      </c>
      <c r="AU115" s="1" t="n">
        <v>46295</v>
      </c>
      <c r="AV115" s="0" t="s">
        <v>466</v>
      </c>
      <c r="AW115" s="0" t="s">
        <v>327</v>
      </c>
      <c r="AX115" s="0" t="s">
        <v>187</v>
      </c>
      <c r="AY115" s="0" t="s">
        <v>467</v>
      </c>
      <c r="AZ115" s="0" t="s">
        <v>468</v>
      </c>
      <c r="BA115" s="0" t="s">
        <v>413</v>
      </c>
      <c r="BB115" s="0" t="s">
        <v>327</v>
      </c>
      <c r="BC115" s="0" t="s">
        <v>469</v>
      </c>
      <c r="BI115" s="0" t="n">
        <v>19246000</v>
      </c>
      <c r="BJ115" s="0" t="n">
        <v>20047916.67</v>
      </c>
      <c r="BK115" s="0" t="s">
        <v>253</v>
      </c>
      <c r="BL115" s="0" t="s">
        <v>201</v>
      </c>
      <c r="BN115" s="0" t="n">
        <v>5.1</v>
      </c>
      <c r="BO115" s="0" t="n">
        <v>2.16</v>
      </c>
      <c r="BP115" s="0" t="s">
        <v>187</v>
      </c>
      <c r="BQ115" s="0" t="s">
        <v>187</v>
      </c>
      <c r="BR115" s="0" t="s">
        <v>203</v>
      </c>
      <c r="BS115" s="0" t="s">
        <v>470</v>
      </c>
      <c r="BT115" s="0" t="s">
        <v>269</v>
      </c>
      <c r="BU115" s="0" t="s">
        <v>269</v>
      </c>
      <c r="BW115" s="0" t="s">
        <v>206</v>
      </c>
      <c r="BX115" s="0" t="s">
        <v>207</v>
      </c>
      <c r="BY115" s="0" t="n">
        <v>170</v>
      </c>
      <c r="BZ115" s="0" t="n">
        <v>170</v>
      </c>
      <c r="CC115" s="0" t="s">
        <v>239</v>
      </c>
      <c r="CD115" s="0" t="s">
        <v>239</v>
      </c>
      <c r="CE115" s="0" t="s">
        <v>409</v>
      </c>
      <c r="CF115" s="0" t="s">
        <v>211</v>
      </c>
      <c r="CG115" s="0" t="s">
        <v>240</v>
      </c>
      <c r="CH115" s="1" t="n">
        <v>46112</v>
      </c>
      <c r="CI115" s="0" t="n">
        <v>1.2</v>
      </c>
      <c r="CJ115" s="0" t="n">
        <v>2.72</v>
      </c>
      <c r="CK115" s="0" t="n">
        <v>2.86</v>
      </c>
      <c r="CL115" s="0" t="s">
        <v>212</v>
      </c>
      <c r="DA115" s="0" t="n">
        <v>0.7</v>
      </c>
      <c r="DC115" s="0" t="n">
        <v>0.85</v>
      </c>
      <c r="DD115" s="0" t="s">
        <v>212</v>
      </c>
      <c r="ED115" s="0" t="s">
        <v>213</v>
      </c>
      <c r="EE115" s="0" t="n">
        <v>1.05</v>
      </c>
      <c r="EI115" s="0" t="n">
        <v>1.13</v>
      </c>
      <c r="FQ115" s="0" t="n">
        <v>58066350</v>
      </c>
    </row>
    <row r="116" customFormat="false" ht="15" hidden="false" customHeight="false" outlineLevel="0" collapsed="false">
      <c r="B116" s="0" t="str">
        <f aca="false">C116&amp;"x"&amp;I116</f>
        <v>61014x100223</v>
      </c>
      <c r="C116" s="0" t="n">
        <f aca="false">IF(G116="SINGLE",H116,G116)</f>
        <v>61014</v>
      </c>
      <c r="D116" s="0" t="e">
        <f aca="false">_xlfn.XLOOKUP(I116,calculations!$t:$t,calculations!$s:$s)</f>
        <v>#VALUE!</v>
      </c>
      <c r="E116" s="0" t="str">
        <f aca="false">_xlfn.XLOOKUP(I116,Mapping!$T:$T,Mapping!$Q:$Q)</f>
        <v>UMBR21</v>
      </c>
      <c r="F116" s="1" t="n">
        <v>46203</v>
      </c>
      <c r="G116" s="0" t="n">
        <v>61014</v>
      </c>
      <c r="H116" s="0" t="n">
        <v>61014</v>
      </c>
      <c r="I116" s="0" t="n">
        <v>100223</v>
      </c>
      <c r="J116" s="0" t="s">
        <v>462</v>
      </c>
      <c r="K116" s="0" t="s">
        <v>241</v>
      </c>
      <c r="L116" s="0" t="s">
        <v>241</v>
      </c>
      <c r="M116" s="0" t="s">
        <v>184</v>
      </c>
      <c r="N116" s="0" t="n">
        <v>22308000</v>
      </c>
      <c r="O116" s="0" t="n">
        <v>23237500</v>
      </c>
      <c r="P116" s="0" t="s">
        <v>185</v>
      </c>
      <c r="Q116" s="0" t="s">
        <v>227</v>
      </c>
      <c r="R116" s="0" t="s">
        <v>187</v>
      </c>
      <c r="S116" s="0" t="s">
        <v>463</v>
      </c>
      <c r="T116" s="0" t="s">
        <v>189</v>
      </c>
      <c r="U116" s="0" t="s">
        <v>412</v>
      </c>
      <c r="V116" s="0" t="s">
        <v>413</v>
      </c>
      <c r="W116" s="0" t="s">
        <v>464</v>
      </c>
      <c r="X116" s="0" t="s">
        <v>465</v>
      </c>
      <c r="Y116" s="0" t="n">
        <v>5.6</v>
      </c>
      <c r="Z116" s="0" t="s">
        <v>415</v>
      </c>
      <c r="AA116" s="0" t="n">
        <v>0.96</v>
      </c>
      <c r="AB116" s="0" t="s">
        <v>202</v>
      </c>
      <c r="AC116" s="0" t="n">
        <v>35209000</v>
      </c>
      <c r="AD116" s="0" t="n">
        <v>35209000</v>
      </c>
      <c r="AE116" s="0" t="n">
        <v>36676041.67</v>
      </c>
      <c r="AF116" s="0" t="n">
        <v>0.6336</v>
      </c>
      <c r="AG116" s="0" t="n">
        <v>22308000</v>
      </c>
      <c r="AH116" s="0" t="n">
        <v>22308000</v>
      </c>
      <c r="AI116" s="0" t="n">
        <v>12901000</v>
      </c>
      <c r="AJ116" s="0" t="n">
        <v>35209000</v>
      </c>
      <c r="AK116" s="0" t="n">
        <v>22308000</v>
      </c>
      <c r="AL116" s="0" t="n">
        <v>22308000</v>
      </c>
      <c r="AN116" s="0" t="n">
        <v>4.991</v>
      </c>
      <c r="AO116" s="0" t="n">
        <v>3.697</v>
      </c>
      <c r="AP116" s="0" t="n">
        <v>5.67</v>
      </c>
      <c r="AQ116" s="0" t="n">
        <v>100</v>
      </c>
      <c r="AR116" s="0" t="n">
        <v>100</v>
      </c>
      <c r="AS116" s="1" t="n">
        <v>43888</v>
      </c>
      <c r="AT116" s="1" t="n">
        <v>46992</v>
      </c>
      <c r="AU116" s="1" t="n">
        <v>46295</v>
      </c>
      <c r="AV116" s="0" t="s">
        <v>466</v>
      </c>
      <c r="AW116" s="0" t="s">
        <v>327</v>
      </c>
      <c r="AX116" s="0" t="s">
        <v>187</v>
      </c>
      <c r="AY116" s="0" t="s">
        <v>467</v>
      </c>
      <c r="AZ116" s="0" t="s">
        <v>468</v>
      </c>
      <c r="BA116" s="0" t="s">
        <v>413</v>
      </c>
      <c r="BB116" s="0" t="s">
        <v>327</v>
      </c>
      <c r="BC116" s="0" t="s">
        <v>469</v>
      </c>
      <c r="BI116" s="0" t="n">
        <v>35209000</v>
      </c>
      <c r="BJ116" s="0" t="n">
        <v>36676041.67</v>
      </c>
      <c r="BK116" s="0" t="s">
        <v>253</v>
      </c>
      <c r="BL116" s="0" t="s">
        <v>201</v>
      </c>
      <c r="BN116" s="0" t="n">
        <v>5.1</v>
      </c>
      <c r="BO116" s="0" t="n">
        <v>2.16</v>
      </c>
      <c r="BP116" s="0" t="s">
        <v>187</v>
      </c>
      <c r="BQ116" s="0" t="s">
        <v>187</v>
      </c>
      <c r="BR116" s="0" t="s">
        <v>203</v>
      </c>
      <c r="BS116" s="0" t="s">
        <v>470</v>
      </c>
      <c r="BT116" s="0" t="s">
        <v>269</v>
      </c>
      <c r="BU116" s="0" t="s">
        <v>220</v>
      </c>
      <c r="BW116" s="0" t="s">
        <v>206</v>
      </c>
      <c r="BX116" s="0" t="s">
        <v>207</v>
      </c>
      <c r="BY116" s="0" t="n">
        <v>170</v>
      </c>
      <c r="BZ116" s="0" t="n">
        <v>170</v>
      </c>
      <c r="CC116" s="0" t="s">
        <v>239</v>
      </c>
      <c r="CD116" s="0" t="s">
        <v>239</v>
      </c>
      <c r="CE116" s="0" t="s">
        <v>409</v>
      </c>
      <c r="CF116" s="0" t="s">
        <v>211</v>
      </c>
      <c r="CG116" s="0" t="s">
        <v>240</v>
      </c>
      <c r="CH116" s="1" t="n">
        <v>46112</v>
      </c>
      <c r="CI116" s="0" t="n">
        <v>1.2</v>
      </c>
      <c r="CJ116" s="0" t="n">
        <v>1.42</v>
      </c>
      <c r="CK116" s="0" t="n">
        <v>1.49</v>
      </c>
      <c r="CL116" s="0" t="s">
        <v>212</v>
      </c>
      <c r="DA116" s="0" t="n">
        <v>0.64</v>
      </c>
      <c r="DC116" s="0" t="n">
        <v>0.85</v>
      </c>
      <c r="DD116" s="0" t="s">
        <v>212</v>
      </c>
      <c r="ED116" s="0" t="s">
        <v>212</v>
      </c>
      <c r="EE116" s="0" t="n">
        <v>1.05</v>
      </c>
      <c r="EI116" s="0" t="n">
        <v>1.62</v>
      </c>
      <c r="FQ116" s="0" t="n">
        <v>53603706</v>
      </c>
    </row>
    <row r="117" customFormat="false" ht="15" hidden="false" customHeight="false" outlineLevel="0" collapsed="false">
      <c r="B117" s="0" t="str">
        <f aca="false">C117&amp;"x"&amp;I117</f>
        <v>61021x100223</v>
      </c>
      <c r="C117" s="0" t="n">
        <f aca="false">IF(G117="SINGLE",H117,G117)</f>
        <v>61021</v>
      </c>
      <c r="D117" s="0" t="e">
        <f aca="false">_xlfn.XLOOKUP(I117,calculations!$t:$t,calculations!$s:$s)</f>
        <v>#VALUE!</v>
      </c>
      <c r="E117" s="0" t="str">
        <f aca="false">_xlfn.XLOOKUP(I117,Mapping!$T:$T,Mapping!$Q:$Q)</f>
        <v>UMBR21</v>
      </c>
      <c r="F117" s="1" t="n">
        <v>46203</v>
      </c>
      <c r="G117" s="0" t="n">
        <v>61021</v>
      </c>
      <c r="H117" s="0" t="n">
        <v>61021</v>
      </c>
      <c r="I117" s="0" t="n">
        <v>100223</v>
      </c>
      <c r="J117" s="0" t="s">
        <v>462</v>
      </c>
      <c r="K117" s="0" t="s">
        <v>214</v>
      </c>
      <c r="L117" s="0" t="s">
        <v>214</v>
      </c>
      <c r="M117" s="0" t="s">
        <v>184</v>
      </c>
      <c r="N117" s="0" t="n">
        <v>17764000</v>
      </c>
      <c r="O117" s="0" t="n">
        <v>18504166.67</v>
      </c>
      <c r="P117" s="0" t="s">
        <v>185</v>
      </c>
      <c r="Q117" s="0" t="s">
        <v>227</v>
      </c>
      <c r="R117" s="0" t="s">
        <v>187</v>
      </c>
      <c r="S117" s="0" t="s">
        <v>463</v>
      </c>
      <c r="T117" s="0" t="s">
        <v>189</v>
      </c>
      <c r="U117" s="0" t="s">
        <v>412</v>
      </c>
      <c r="V117" s="0" t="s">
        <v>413</v>
      </c>
      <c r="W117" s="0" t="s">
        <v>464</v>
      </c>
      <c r="X117" s="0" t="s">
        <v>465</v>
      </c>
      <c r="Y117" s="0" t="n">
        <v>5.6</v>
      </c>
      <c r="Z117" s="0" t="s">
        <v>415</v>
      </c>
      <c r="AA117" s="0" t="n">
        <v>0.96</v>
      </c>
      <c r="AB117" s="0" t="s">
        <v>202</v>
      </c>
      <c r="AC117" s="0" t="n">
        <v>28037000</v>
      </c>
      <c r="AD117" s="0" t="n">
        <v>28037000</v>
      </c>
      <c r="AE117" s="0" t="n">
        <v>29205208.33</v>
      </c>
      <c r="AF117" s="0" t="n">
        <v>0.6336</v>
      </c>
      <c r="AG117" s="0" t="n">
        <v>17764000</v>
      </c>
      <c r="AH117" s="0" t="n">
        <v>17764000</v>
      </c>
      <c r="AI117" s="0" t="n">
        <v>10273000</v>
      </c>
      <c r="AJ117" s="0" t="n">
        <v>28037000</v>
      </c>
      <c r="AK117" s="0" t="n">
        <v>17764000</v>
      </c>
      <c r="AL117" s="0" t="n">
        <v>17764000</v>
      </c>
      <c r="AN117" s="0" t="n">
        <v>4.29</v>
      </c>
      <c r="AO117" s="0" t="n">
        <v>2.854</v>
      </c>
      <c r="AP117" s="0" t="n">
        <v>4.372</v>
      </c>
      <c r="AQ117" s="0" t="n">
        <v>100</v>
      </c>
      <c r="AR117" s="0" t="n">
        <v>100</v>
      </c>
      <c r="AS117" s="1" t="n">
        <v>43888</v>
      </c>
      <c r="AT117" s="1" t="n">
        <v>46992</v>
      </c>
      <c r="AU117" s="1" t="n">
        <v>46295</v>
      </c>
      <c r="AV117" s="0" t="s">
        <v>466</v>
      </c>
      <c r="AW117" s="0" t="s">
        <v>327</v>
      </c>
      <c r="AX117" s="0" t="s">
        <v>187</v>
      </c>
      <c r="AY117" s="0" t="s">
        <v>467</v>
      </c>
      <c r="AZ117" s="0" t="s">
        <v>468</v>
      </c>
      <c r="BA117" s="0" t="s">
        <v>413</v>
      </c>
      <c r="BB117" s="0" t="s">
        <v>327</v>
      </c>
      <c r="BC117" s="0" t="s">
        <v>469</v>
      </c>
      <c r="BI117" s="0" t="n">
        <v>28037000</v>
      </c>
      <c r="BJ117" s="0" t="n">
        <v>29205208.33</v>
      </c>
      <c r="BK117" s="0" t="s">
        <v>253</v>
      </c>
      <c r="BL117" s="0" t="s">
        <v>201</v>
      </c>
      <c r="BN117" s="0" t="n">
        <v>5.1</v>
      </c>
      <c r="BO117" s="0" t="n">
        <v>2.16</v>
      </c>
      <c r="BP117" s="0" t="s">
        <v>187</v>
      </c>
      <c r="BQ117" s="0" t="s">
        <v>187</v>
      </c>
      <c r="BR117" s="0" t="s">
        <v>203</v>
      </c>
      <c r="BS117" s="0" t="s">
        <v>470</v>
      </c>
      <c r="BT117" s="0" t="s">
        <v>269</v>
      </c>
      <c r="BU117" s="0" t="s">
        <v>216</v>
      </c>
      <c r="BW117" s="0" t="s">
        <v>257</v>
      </c>
      <c r="BX117" s="0" t="s">
        <v>207</v>
      </c>
      <c r="BY117" s="0" t="n">
        <v>170</v>
      </c>
      <c r="BZ117" s="0" t="n">
        <v>170</v>
      </c>
      <c r="CC117" s="0" t="s">
        <v>239</v>
      </c>
      <c r="CD117" s="0" t="s">
        <v>239</v>
      </c>
      <c r="CE117" s="0" t="s">
        <v>409</v>
      </c>
      <c r="CF117" s="0" t="s">
        <v>211</v>
      </c>
      <c r="CG117" s="0" t="s">
        <v>240</v>
      </c>
      <c r="CH117" s="1" t="n">
        <v>46112</v>
      </c>
      <c r="CI117" s="0" t="n">
        <v>1.2</v>
      </c>
      <c r="CJ117" s="0" t="n">
        <v>2.59</v>
      </c>
      <c r="CK117" s="0" t="n">
        <v>2.72</v>
      </c>
      <c r="CL117" s="0" t="s">
        <v>212</v>
      </c>
      <c r="DA117" s="0" t="n">
        <v>0.76</v>
      </c>
      <c r="DC117" s="0" t="n">
        <v>0.85</v>
      </c>
      <c r="DD117" s="0" t="s">
        <v>212</v>
      </c>
      <c r="ED117" s="0" t="s">
        <v>212</v>
      </c>
      <c r="EE117" s="0" t="n">
        <v>1.05</v>
      </c>
      <c r="EI117" s="0" t="n">
        <v>1.41</v>
      </c>
      <c r="FQ117" s="0" t="n">
        <v>56294768</v>
      </c>
    </row>
    <row r="118" customFormat="false" ht="15" hidden="false" customHeight="false" outlineLevel="0" collapsed="false">
      <c r="B118" s="0" t="str">
        <f aca="false">C118&amp;"x"&amp;I118</f>
        <v>61007x100223</v>
      </c>
      <c r="C118" s="0" t="n">
        <f aca="false">IF(G118="SINGLE",H118,G118)</f>
        <v>61007</v>
      </c>
      <c r="D118" s="0" t="e">
        <f aca="false">_xlfn.XLOOKUP(I118,calculations!$t:$t,calculations!$s:$s)</f>
        <v>#VALUE!</v>
      </c>
      <c r="E118" s="0" t="str">
        <f aca="false">_xlfn.XLOOKUP(I118,Mapping!$T:$T,Mapping!$Q:$Q)</f>
        <v>UMBR21</v>
      </c>
      <c r="F118" s="1" t="n">
        <v>46203</v>
      </c>
      <c r="G118" s="0" t="n">
        <v>61007</v>
      </c>
      <c r="H118" s="0" t="n">
        <v>61007</v>
      </c>
      <c r="I118" s="0" t="n">
        <v>100223</v>
      </c>
      <c r="J118" s="0" t="s">
        <v>462</v>
      </c>
      <c r="K118" s="0" t="s">
        <v>218</v>
      </c>
      <c r="L118" s="0" t="s">
        <v>218</v>
      </c>
      <c r="M118" s="0" t="s">
        <v>184</v>
      </c>
      <c r="N118" s="0" t="n">
        <v>8688000</v>
      </c>
      <c r="O118" s="0" t="n">
        <v>9050000</v>
      </c>
      <c r="P118" s="0" t="s">
        <v>219</v>
      </c>
      <c r="Q118" s="0" t="s">
        <v>227</v>
      </c>
      <c r="R118" s="0" t="s">
        <v>187</v>
      </c>
      <c r="S118" s="0" t="s">
        <v>463</v>
      </c>
      <c r="T118" s="0" t="s">
        <v>189</v>
      </c>
      <c r="U118" s="0" t="s">
        <v>412</v>
      </c>
      <c r="V118" s="0" t="s">
        <v>413</v>
      </c>
      <c r="W118" s="0" t="s">
        <v>464</v>
      </c>
      <c r="X118" s="0" t="s">
        <v>465</v>
      </c>
      <c r="Y118" s="0" t="n">
        <v>5.6</v>
      </c>
      <c r="Z118" s="0" t="s">
        <v>415</v>
      </c>
      <c r="AA118" s="0" t="n">
        <v>0.96</v>
      </c>
      <c r="AB118" s="0" t="s">
        <v>202</v>
      </c>
      <c r="AC118" s="0" t="n">
        <v>13713000</v>
      </c>
      <c r="AD118" s="0" t="n">
        <v>13713000</v>
      </c>
      <c r="AE118" s="0" t="n">
        <v>14284375</v>
      </c>
      <c r="AF118" s="0" t="n">
        <v>0.6336</v>
      </c>
      <c r="AG118" s="0" t="n">
        <v>8688000</v>
      </c>
      <c r="AH118" s="0" t="n">
        <v>8688000</v>
      </c>
      <c r="AI118" s="0" t="n">
        <v>5025000</v>
      </c>
      <c r="AJ118" s="0" t="n">
        <v>13713000</v>
      </c>
      <c r="AK118" s="0" t="n">
        <v>8688000</v>
      </c>
      <c r="AL118" s="0" t="n">
        <v>8688000</v>
      </c>
      <c r="AN118" s="0" t="n">
        <v>3.172</v>
      </c>
      <c r="AO118" s="0" t="n">
        <v>3.594</v>
      </c>
      <c r="AP118" s="0" t="n">
        <v>4.384</v>
      </c>
      <c r="AQ118" s="0" t="n">
        <v>100</v>
      </c>
      <c r="AR118" s="0" t="n">
        <v>100</v>
      </c>
      <c r="AS118" s="1" t="n">
        <v>43888</v>
      </c>
      <c r="AT118" s="1" t="n">
        <v>46992</v>
      </c>
      <c r="AU118" s="1" t="n">
        <v>46295</v>
      </c>
      <c r="AV118" s="0" t="s">
        <v>466</v>
      </c>
      <c r="AW118" s="0" t="s">
        <v>327</v>
      </c>
      <c r="AX118" s="0" t="s">
        <v>187</v>
      </c>
      <c r="AY118" s="0" t="s">
        <v>467</v>
      </c>
      <c r="AZ118" s="0" t="s">
        <v>468</v>
      </c>
      <c r="BA118" s="0" t="s">
        <v>413</v>
      </c>
      <c r="BB118" s="0" t="s">
        <v>327</v>
      </c>
      <c r="BC118" s="0" t="s">
        <v>469</v>
      </c>
      <c r="BI118" s="0" t="n">
        <v>13713000</v>
      </c>
      <c r="BJ118" s="0" t="n">
        <v>14284375</v>
      </c>
      <c r="BK118" s="0" t="s">
        <v>253</v>
      </c>
      <c r="BL118" s="0" t="s">
        <v>201</v>
      </c>
      <c r="BN118" s="0" t="n">
        <v>5.1</v>
      </c>
      <c r="BO118" s="0" t="n">
        <v>2.16</v>
      </c>
      <c r="BP118" s="0" t="s">
        <v>187</v>
      </c>
      <c r="BQ118" s="0" t="s">
        <v>187</v>
      </c>
      <c r="BR118" s="0" t="s">
        <v>203</v>
      </c>
      <c r="BS118" s="0" t="s">
        <v>470</v>
      </c>
      <c r="BT118" s="0" t="s">
        <v>269</v>
      </c>
      <c r="BU118" s="0" t="s">
        <v>224</v>
      </c>
      <c r="BW118" s="0" t="s">
        <v>206</v>
      </c>
      <c r="BX118" s="0" t="s">
        <v>207</v>
      </c>
      <c r="BY118" s="0" t="n">
        <v>170</v>
      </c>
      <c r="BZ118" s="0" t="n">
        <v>170</v>
      </c>
      <c r="CC118" s="0" t="s">
        <v>239</v>
      </c>
      <c r="CD118" s="0" t="s">
        <v>239</v>
      </c>
      <c r="CE118" s="0" t="s">
        <v>409</v>
      </c>
      <c r="CF118" s="0" t="s">
        <v>211</v>
      </c>
      <c r="CG118" s="0" t="s">
        <v>240</v>
      </c>
      <c r="CH118" s="1" t="n">
        <v>46112</v>
      </c>
      <c r="CI118" s="0" t="n">
        <v>1.2</v>
      </c>
      <c r="CJ118" s="0" t="n">
        <v>1.66</v>
      </c>
      <c r="CK118" s="0" t="n">
        <v>1.74</v>
      </c>
      <c r="CL118" s="0" t="s">
        <v>212</v>
      </c>
      <c r="DA118" s="0" t="n">
        <v>0.51</v>
      </c>
      <c r="DC118" s="0" t="n">
        <v>0.85</v>
      </c>
      <c r="DD118" s="0" t="s">
        <v>212</v>
      </c>
      <c r="ED118" s="0" t="s">
        <v>212</v>
      </c>
      <c r="EE118" s="0" t="n">
        <v>1.05</v>
      </c>
      <c r="EI118" s="0" t="n">
        <v>1.3</v>
      </c>
      <c r="FQ118" s="0" t="n">
        <v>55899632</v>
      </c>
    </row>
    <row r="119" customFormat="false" ht="15" hidden="false" customHeight="false" outlineLevel="0" collapsed="false">
      <c r="B119" s="0" t="str">
        <f aca="false">C119&amp;"x"&amp;I119</f>
        <v>61005x100223</v>
      </c>
      <c r="C119" s="0" t="n">
        <f aca="false">IF(G119="SINGLE",H119,G119)</f>
        <v>61005</v>
      </c>
      <c r="D119" s="0" t="e">
        <f aca="false">_xlfn.XLOOKUP(I119,calculations!$t:$t,calculations!$s:$s)</f>
        <v>#VALUE!</v>
      </c>
      <c r="E119" s="0" t="str">
        <f aca="false">_xlfn.XLOOKUP(I119,Mapping!$T:$T,Mapping!$Q:$Q)</f>
        <v>UMBR21</v>
      </c>
      <c r="F119" s="1" t="n">
        <v>46203</v>
      </c>
      <c r="G119" s="0" t="n">
        <v>61005</v>
      </c>
      <c r="H119" s="0" t="n">
        <v>61005</v>
      </c>
      <c r="I119" s="0" t="n">
        <v>100223</v>
      </c>
      <c r="J119" s="0" t="s">
        <v>462</v>
      </c>
      <c r="K119" s="0" t="s">
        <v>275</v>
      </c>
      <c r="L119" s="0" t="s">
        <v>275</v>
      </c>
      <c r="M119" s="0" t="s">
        <v>184</v>
      </c>
      <c r="N119" s="0" t="n">
        <v>25831000</v>
      </c>
      <c r="O119" s="0" t="n">
        <v>26907291.67</v>
      </c>
      <c r="P119" s="0" t="s">
        <v>185</v>
      </c>
      <c r="Q119" s="0" t="s">
        <v>227</v>
      </c>
      <c r="R119" s="0" t="s">
        <v>187</v>
      </c>
      <c r="S119" s="0" t="s">
        <v>463</v>
      </c>
      <c r="T119" s="0" t="s">
        <v>189</v>
      </c>
      <c r="U119" s="0" t="s">
        <v>412</v>
      </c>
      <c r="V119" s="0" t="s">
        <v>413</v>
      </c>
      <c r="W119" s="0" t="s">
        <v>464</v>
      </c>
      <c r="X119" s="0" t="s">
        <v>465</v>
      </c>
      <c r="Y119" s="0" t="n">
        <v>5.6</v>
      </c>
      <c r="Z119" s="0" t="s">
        <v>415</v>
      </c>
      <c r="AA119" s="0" t="n">
        <v>0.96</v>
      </c>
      <c r="AB119" s="0" t="s">
        <v>202</v>
      </c>
      <c r="AC119" s="0" t="n">
        <v>40770000</v>
      </c>
      <c r="AD119" s="0" t="n">
        <v>40770000</v>
      </c>
      <c r="AE119" s="0" t="n">
        <v>42468750</v>
      </c>
      <c r="AF119" s="0" t="n">
        <v>0.6336</v>
      </c>
      <c r="AG119" s="0" t="n">
        <v>25831000</v>
      </c>
      <c r="AH119" s="0" t="n">
        <v>25831000</v>
      </c>
      <c r="AI119" s="0" t="n">
        <v>14939000</v>
      </c>
      <c r="AJ119" s="0" t="n">
        <v>40770000</v>
      </c>
      <c r="AK119" s="0" t="n">
        <v>25831000</v>
      </c>
      <c r="AL119" s="0" t="n">
        <v>25831000</v>
      </c>
      <c r="AN119" s="0" t="n">
        <v>2.949</v>
      </c>
      <c r="AO119" s="0" t="n">
        <v>4.413</v>
      </c>
      <c r="AP119" s="0" t="n">
        <v>6.362</v>
      </c>
      <c r="AQ119" s="0" t="n">
        <v>100</v>
      </c>
      <c r="AR119" s="0" t="n">
        <v>100</v>
      </c>
      <c r="AS119" s="1" t="n">
        <v>43888</v>
      </c>
      <c r="AT119" s="1" t="n">
        <v>46992</v>
      </c>
      <c r="AU119" s="1" t="n">
        <v>46295</v>
      </c>
      <c r="AV119" s="0" t="s">
        <v>466</v>
      </c>
      <c r="AW119" s="0" t="s">
        <v>327</v>
      </c>
      <c r="AX119" s="0" t="s">
        <v>187</v>
      </c>
      <c r="AY119" s="0" t="s">
        <v>467</v>
      </c>
      <c r="AZ119" s="0" t="s">
        <v>468</v>
      </c>
      <c r="BA119" s="0" t="s">
        <v>413</v>
      </c>
      <c r="BB119" s="0" t="s">
        <v>327</v>
      </c>
      <c r="BC119" s="0" t="s">
        <v>469</v>
      </c>
      <c r="BI119" s="0" t="n">
        <v>40770000</v>
      </c>
      <c r="BJ119" s="0" t="n">
        <v>42468750</v>
      </c>
      <c r="BK119" s="0" t="s">
        <v>253</v>
      </c>
      <c r="BL119" s="0" t="s">
        <v>201</v>
      </c>
      <c r="BN119" s="0" t="n">
        <v>5.1</v>
      </c>
      <c r="BO119" s="0" t="n">
        <v>2.16</v>
      </c>
      <c r="BP119" s="0" t="s">
        <v>187</v>
      </c>
      <c r="BQ119" s="0" t="s">
        <v>187</v>
      </c>
      <c r="BR119" s="0" t="s">
        <v>203</v>
      </c>
      <c r="BS119" s="0" t="s">
        <v>470</v>
      </c>
      <c r="BT119" s="0" t="s">
        <v>269</v>
      </c>
      <c r="BU119" s="0" t="s">
        <v>205</v>
      </c>
      <c r="BW119" s="0" t="s">
        <v>257</v>
      </c>
      <c r="BX119" s="0" t="s">
        <v>217</v>
      </c>
      <c r="BY119" s="0" t="n">
        <v>170</v>
      </c>
      <c r="BZ119" s="0" t="n">
        <v>170</v>
      </c>
      <c r="CC119" s="0" t="s">
        <v>239</v>
      </c>
      <c r="CD119" s="0" t="s">
        <v>239</v>
      </c>
      <c r="CE119" s="0" t="s">
        <v>409</v>
      </c>
      <c r="CF119" s="0" t="s">
        <v>211</v>
      </c>
      <c r="CG119" s="0" t="s">
        <v>240</v>
      </c>
      <c r="CH119" s="1" t="n">
        <v>46112</v>
      </c>
      <c r="CI119" s="0" t="n">
        <v>1.2</v>
      </c>
      <c r="CJ119" s="0" t="n">
        <v>1.9</v>
      </c>
      <c r="CK119" s="0" t="n">
        <v>1.99</v>
      </c>
      <c r="CL119" s="0" t="s">
        <v>212</v>
      </c>
      <c r="DA119" s="0" t="n">
        <v>0.45</v>
      </c>
      <c r="DC119" s="0" t="n">
        <v>0.85</v>
      </c>
      <c r="DD119" s="0" t="s">
        <v>212</v>
      </c>
      <c r="ED119" s="0" t="s">
        <v>212</v>
      </c>
      <c r="EE119" s="0" t="n">
        <v>1.05</v>
      </c>
      <c r="EI119" s="0" t="n">
        <v>1.83</v>
      </c>
      <c r="FQ119" s="0" t="n">
        <v>72088675</v>
      </c>
    </row>
    <row r="120" customFormat="false" ht="15" hidden="false" customHeight="false" outlineLevel="0" collapsed="false">
      <c r="B120" s="0" t="str">
        <f aca="false">C120&amp;"x"&amp;I120</f>
        <v>61016x100224</v>
      </c>
      <c r="C120" s="0" t="n">
        <f aca="false">IF(G120="SINGLE",H120,G120)</f>
        <v>61016</v>
      </c>
      <c r="D120" s="0" t="e">
        <f aca="false">_xlfn.XLOOKUP(I120,calculations!$t:$t,calculations!$s:$s)</f>
        <v>#VALUE!</v>
      </c>
      <c r="E120" s="0" t="str">
        <f aca="false">_xlfn.XLOOKUP(I120,Mapping!$T:$T,Mapping!$Q:$Q)</f>
        <v>VERT22</v>
      </c>
      <c r="F120" s="1" t="n">
        <v>46203</v>
      </c>
      <c r="G120" s="0" t="n">
        <v>61016</v>
      </c>
      <c r="H120" s="0" t="n">
        <v>61016</v>
      </c>
      <c r="I120" s="0" t="n">
        <v>100224</v>
      </c>
      <c r="J120" s="0" t="s">
        <v>471</v>
      </c>
      <c r="K120" s="0" t="s">
        <v>343</v>
      </c>
      <c r="L120" s="0" t="s">
        <v>343</v>
      </c>
      <c r="M120" s="0" t="s">
        <v>184</v>
      </c>
      <c r="N120" s="0" t="n">
        <v>61647000</v>
      </c>
      <c r="O120" s="0" t="n">
        <v>61647000</v>
      </c>
      <c r="P120" s="0" t="s">
        <v>185</v>
      </c>
      <c r="Q120" s="0" t="s">
        <v>227</v>
      </c>
      <c r="R120" s="0" t="s">
        <v>202</v>
      </c>
      <c r="S120" s="0" t="s">
        <v>472</v>
      </c>
      <c r="T120" s="0" t="s">
        <v>189</v>
      </c>
      <c r="U120" s="0" t="s">
        <v>357</v>
      </c>
      <c r="V120" s="0" t="s">
        <v>358</v>
      </c>
      <c r="W120" s="0" t="s">
        <v>473</v>
      </c>
      <c r="X120" s="0" t="s">
        <v>474</v>
      </c>
      <c r="Y120" s="0" t="n">
        <v>5.3</v>
      </c>
      <c r="Z120" s="0" t="s">
        <v>185</v>
      </c>
      <c r="AA120" s="0" t="n">
        <v>1</v>
      </c>
      <c r="AB120" s="0" t="s">
        <v>187</v>
      </c>
      <c r="AC120" s="0" t="n">
        <v>65981000</v>
      </c>
      <c r="AD120" s="0" t="n">
        <v>65981000</v>
      </c>
      <c r="AE120" s="0" t="n">
        <v>65981000</v>
      </c>
      <c r="AF120" s="0" t="n">
        <v>0.9343</v>
      </c>
      <c r="AG120" s="0" t="n">
        <v>61647000</v>
      </c>
      <c r="AH120" s="0" t="n">
        <v>61647000</v>
      </c>
      <c r="AI120" s="0" t="n">
        <v>4334000</v>
      </c>
      <c r="AJ120" s="0" t="n">
        <v>65981000</v>
      </c>
      <c r="AK120" s="0" t="n">
        <v>61647000</v>
      </c>
      <c r="AL120" s="0" t="n">
        <v>61647000</v>
      </c>
      <c r="AN120" s="0" t="n">
        <v>2.957</v>
      </c>
      <c r="AO120" s="0" t="n">
        <v>3.223</v>
      </c>
      <c r="AP120" s="0" t="n">
        <v>3.419</v>
      </c>
      <c r="AQ120" s="0" t="n">
        <v>100</v>
      </c>
      <c r="AR120" s="0" t="n">
        <v>100</v>
      </c>
      <c r="AS120" s="1" t="n">
        <v>44097</v>
      </c>
      <c r="AT120" s="1" t="n">
        <v>47749</v>
      </c>
      <c r="AU120" s="1" t="n">
        <v>46295</v>
      </c>
      <c r="AV120" s="0" t="s">
        <v>475</v>
      </c>
      <c r="AW120" s="0" t="s">
        <v>234</v>
      </c>
      <c r="AX120" s="0" t="s">
        <v>187</v>
      </c>
      <c r="AY120" s="0" t="s">
        <v>476</v>
      </c>
      <c r="AZ120" s="0" t="s">
        <v>477</v>
      </c>
      <c r="BA120" s="0" t="s">
        <v>358</v>
      </c>
      <c r="BB120" s="0" t="s">
        <v>234</v>
      </c>
      <c r="BC120" s="0" t="s">
        <v>478</v>
      </c>
      <c r="BI120" s="0" t="n">
        <v>65981000</v>
      </c>
      <c r="BJ120" s="0" t="n">
        <v>65981000</v>
      </c>
      <c r="BK120" s="0" t="s">
        <v>253</v>
      </c>
      <c r="BL120" s="0" t="s">
        <v>201</v>
      </c>
      <c r="BN120" s="0" t="n">
        <v>6</v>
      </c>
      <c r="BO120" s="0" t="n">
        <v>4.23</v>
      </c>
      <c r="BP120" s="0" t="s">
        <v>187</v>
      </c>
      <c r="BQ120" s="0" t="s">
        <v>202</v>
      </c>
      <c r="BR120" s="0" t="s">
        <v>203</v>
      </c>
      <c r="BS120" s="0" t="s">
        <v>479</v>
      </c>
      <c r="BT120" s="0" t="s">
        <v>269</v>
      </c>
      <c r="BU120" s="0" t="s">
        <v>216</v>
      </c>
      <c r="BW120" s="0" t="s">
        <v>257</v>
      </c>
      <c r="BX120" s="0" t="s">
        <v>217</v>
      </c>
      <c r="BY120" s="0" t="n">
        <v>125</v>
      </c>
      <c r="BZ120" s="0" t="n">
        <v>125</v>
      </c>
      <c r="CC120" s="0" t="s">
        <v>317</v>
      </c>
      <c r="CD120" s="0" t="s">
        <v>317</v>
      </c>
      <c r="CE120" s="0" t="s">
        <v>211</v>
      </c>
      <c r="CF120" s="0" t="s">
        <v>211</v>
      </c>
      <c r="CG120" s="0" t="s">
        <v>211</v>
      </c>
      <c r="CH120" s="1" t="n">
        <v>46112</v>
      </c>
      <c r="CI120" s="0" t="n">
        <v>1.2</v>
      </c>
      <c r="CJ120" s="0" t="n">
        <v>1.32</v>
      </c>
      <c r="CK120" s="0" t="n">
        <v>1.39</v>
      </c>
      <c r="CL120" s="0" t="s">
        <v>212</v>
      </c>
      <c r="DA120" s="0" t="n">
        <v>0.79</v>
      </c>
      <c r="DC120" s="0" t="n">
        <v>0.85</v>
      </c>
      <c r="DD120" s="0" t="s">
        <v>212</v>
      </c>
      <c r="ED120" s="0" t="s">
        <v>212</v>
      </c>
      <c r="EE120" s="0" t="n">
        <v>1.05</v>
      </c>
      <c r="EI120" s="0" t="n">
        <v>1.33</v>
      </c>
      <c r="FQ120" s="0" t="n">
        <v>53667969</v>
      </c>
    </row>
    <row r="121" customFormat="false" ht="15" hidden="false" customHeight="false" outlineLevel="0" collapsed="false">
      <c r="B121" s="0" t="str">
        <f aca="false">C121&amp;"x"&amp;I121</f>
        <v>61021x100224</v>
      </c>
      <c r="C121" s="0" t="n">
        <f aca="false">IF(G121="SINGLE",H121,G121)</f>
        <v>61021</v>
      </c>
      <c r="D121" s="0" t="e">
        <f aca="false">_xlfn.XLOOKUP(I121,calculations!$t:$t,calculations!$s:$s)</f>
        <v>#VALUE!</v>
      </c>
      <c r="E121" s="0" t="str">
        <f aca="false">_xlfn.XLOOKUP(I121,Mapping!$T:$T,Mapping!$Q:$Q)</f>
        <v>VERT22</v>
      </c>
      <c r="F121" s="1" t="n">
        <v>46203</v>
      </c>
      <c r="G121" s="0" t="n">
        <v>61021</v>
      </c>
      <c r="H121" s="0" t="n">
        <v>61021</v>
      </c>
      <c r="I121" s="0" t="n">
        <v>100224</v>
      </c>
      <c r="J121" s="0" t="s">
        <v>471</v>
      </c>
      <c r="K121" s="0" t="s">
        <v>214</v>
      </c>
      <c r="L121" s="0" t="s">
        <v>214</v>
      </c>
      <c r="M121" s="0" t="s">
        <v>184</v>
      </c>
      <c r="N121" s="0" t="n">
        <v>22316000</v>
      </c>
      <c r="O121" s="0" t="n">
        <v>22316000</v>
      </c>
      <c r="P121" s="0" t="s">
        <v>185</v>
      </c>
      <c r="Q121" s="0" t="s">
        <v>227</v>
      </c>
      <c r="R121" s="0" t="s">
        <v>202</v>
      </c>
      <c r="S121" s="0" t="s">
        <v>472</v>
      </c>
      <c r="T121" s="0" t="s">
        <v>189</v>
      </c>
      <c r="U121" s="0" t="s">
        <v>357</v>
      </c>
      <c r="V121" s="0" t="s">
        <v>358</v>
      </c>
      <c r="W121" s="0" t="s">
        <v>473</v>
      </c>
      <c r="X121" s="0" t="s">
        <v>474</v>
      </c>
      <c r="Y121" s="0" t="n">
        <v>5.3</v>
      </c>
      <c r="Z121" s="0" t="s">
        <v>185</v>
      </c>
      <c r="AA121" s="0" t="n">
        <v>1</v>
      </c>
      <c r="AB121" s="0" t="s">
        <v>187</v>
      </c>
      <c r="AC121" s="0" t="n">
        <v>23885000</v>
      </c>
      <c r="AD121" s="0" t="n">
        <v>23885000</v>
      </c>
      <c r="AE121" s="0" t="n">
        <v>23885000</v>
      </c>
      <c r="AF121" s="0" t="n">
        <v>0.9343</v>
      </c>
      <c r="AG121" s="0" t="n">
        <v>22316000</v>
      </c>
      <c r="AH121" s="0" t="n">
        <v>22316000</v>
      </c>
      <c r="AI121" s="0" t="n">
        <v>1569000</v>
      </c>
      <c r="AJ121" s="0" t="n">
        <v>23885000</v>
      </c>
      <c r="AK121" s="0" t="n">
        <v>22316000</v>
      </c>
      <c r="AL121" s="0" t="n">
        <v>22316000</v>
      </c>
      <c r="AN121" s="0" t="n">
        <v>3.1</v>
      </c>
      <c r="AO121" s="0" t="n">
        <v>5.331</v>
      </c>
      <c r="AP121" s="0" t="n">
        <v>3.927</v>
      </c>
      <c r="AQ121" s="0" t="n">
        <v>100</v>
      </c>
      <c r="AR121" s="0" t="n">
        <v>100</v>
      </c>
      <c r="AS121" s="1" t="n">
        <v>44097</v>
      </c>
      <c r="AT121" s="1" t="n">
        <v>47749</v>
      </c>
      <c r="AU121" s="1" t="n">
        <v>46295</v>
      </c>
      <c r="AV121" s="0" t="s">
        <v>475</v>
      </c>
      <c r="AW121" s="0" t="s">
        <v>234</v>
      </c>
      <c r="AX121" s="0" t="s">
        <v>187</v>
      </c>
      <c r="AY121" s="0" t="s">
        <v>476</v>
      </c>
      <c r="AZ121" s="0" t="s">
        <v>477</v>
      </c>
      <c r="BA121" s="0" t="s">
        <v>358</v>
      </c>
      <c r="BB121" s="0" t="s">
        <v>234</v>
      </c>
      <c r="BC121" s="0" t="s">
        <v>478</v>
      </c>
      <c r="BI121" s="0" t="n">
        <v>23885000</v>
      </c>
      <c r="BJ121" s="0" t="n">
        <v>23885000</v>
      </c>
      <c r="BK121" s="0" t="s">
        <v>253</v>
      </c>
      <c r="BL121" s="0" t="s">
        <v>201</v>
      </c>
      <c r="BN121" s="0" t="n">
        <v>6</v>
      </c>
      <c r="BO121" s="0" t="n">
        <v>4.23</v>
      </c>
      <c r="BP121" s="0" t="s">
        <v>187</v>
      </c>
      <c r="BQ121" s="0" t="s">
        <v>202</v>
      </c>
      <c r="BR121" s="0" t="s">
        <v>203</v>
      </c>
      <c r="BS121" s="0" t="s">
        <v>479</v>
      </c>
      <c r="BT121" s="0" t="s">
        <v>269</v>
      </c>
      <c r="BU121" s="0" t="s">
        <v>224</v>
      </c>
      <c r="BW121" s="0" t="s">
        <v>206</v>
      </c>
      <c r="BX121" s="0" t="s">
        <v>217</v>
      </c>
      <c r="BY121" s="0" t="n">
        <v>125</v>
      </c>
      <c r="BZ121" s="0" t="n">
        <v>125</v>
      </c>
      <c r="CC121" s="0" t="s">
        <v>317</v>
      </c>
      <c r="CD121" s="0" t="s">
        <v>317</v>
      </c>
      <c r="CE121" s="0" t="s">
        <v>211</v>
      </c>
      <c r="CF121" s="0" t="s">
        <v>211</v>
      </c>
      <c r="CG121" s="0" t="s">
        <v>211</v>
      </c>
      <c r="CH121" s="1" t="n">
        <v>46112</v>
      </c>
      <c r="CI121" s="0" t="n">
        <v>1.2</v>
      </c>
      <c r="CJ121" s="0" t="n">
        <v>2.92</v>
      </c>
      <c r="CK121" s="0" t="n">
        <v>3.07</v>
      </c>
      <c r="CL121" s="0" t="s">
        <v>212</v>
      </c>
      <c r="DA121" s="0" t="n">
        <v>0.61</v>
      </c>
      <c r="DC121" s="0" t="n">
        <v>0.85</v>
      </c>
      <c r="DD121" s="0" t="s">
        <v>212</v>
      </c>
      <c r="ED121" s="0" t="s">
        <v>212</v>
      </c>
      <c r="EE121" s="0" t="n">
        <v>1.05</v>
      </c>
      <c r="EI121" s="0" t="n">
        <v>1.46</v>
      </c>
      <c r="FQ121" s="0" t="n">
        <v>34039285</v>
      </c>
    </row>
    <row r="122" customFormat="false" ht="15" hidden="false" customHeight="false" outlineLevel="0" collapsed="false">
      <c r="B122" s="0" t="str">
        <f aca="false">C122&amp;"x"&amp;I122</f>
        <v>61006x100224</v>
      </c>
      <c r="C122" s="0" t="n">
        <f aca="false">IF(G122="SINGLE",H122,G122)</f>
        <v>61006</v>
      </c>
      <c r="D122" s="0" t="e">
        <f aca="false">_xlfn.XLOOKUP(I122,calculations!$t:$t,calculations!$s:$s)</f>
        <v>#VALUE!</v>
      </c>
      <c r="E122" s="0" t="str">
        <f aca="false">_xlfn.XLOOKUP(I122,Mapping!$T:$T,Mapping!$Q:$Q)</f>
        <v>VERT22</v>
      </c>
      <c r="F122" s="1" t="n">
        <v>46203</v>
      </c>
      <c r="G122" s="0" t="n">
        <v>61006</v>
      </c>
      <c r="H122" s="0" t="n">
        <v>61006</v>
      </c>
      <c r="I122" s="0" t="n">
        <v>100224</v>
      </c>
      <c r="J122" s="0" t="s">
        <v>471</v>
      </c>
      <c r="K122" s="0" t="s">
        <v>480</v>
      </c>
      <c r="L122" s="0" t="s">
        <v>480</v>
      </c>
      <c r="M122" s="0" t="s">
        <v>184</v>
      </c>
      <c r="N122" s="0" t="n">
        <v>53533000</v>
      </c>
      <c r="O122" s="0" t="n">
        <v>53533000</v>
      </c>
      <c r="P122" s="0" t="s">
        <v>415</v>
      </c>
      <c r="Q122" s="0" t="s">
        <v>227</v>
      </c>
      <c r="R122" s="0" t="s">
        <v>202</v>
      </c>
      <c r="S122" s="0" t="s">
        <v>472</v>
      </c>
      <c r="T122" s="0" t="s">
        <v>189</v>
      </c>
      <c r="U122" s="0" t="s">
        <v>357</v>
      </c>
      <c r="V122" s="0" t="s">
        <v>358</v>
      </c>
      <c r="W122" s="0" t="s">
        <v>473</v>
      </c>
      <c r="X122" s="0" t="s">
        <v>474</v>
      </c>
      <c r="Y122" s="0" t="n">
        <v>5.3</v>
      </c>
      <c r="Z122" s="0" t="s">
        <v>185</v>
      </c>
      <c r="AA122" s="0" t="n">
        <v>1</v>
      </c>
      <c r="AB122" s="0" t="s">
        <v>187</v>
      </c>
      <c r="AC122" s="0" t="n">
        <v>57297000</v>
      </c>
      <c r="AD122" s="0" t="n">
        <v>57297000</v>
      </c>
      <c r="AE122" s="0" t="n">
        <v>57297000</v>
      </c>
      <c r="AF122" s="0" t="n">
        <v>0.9343</v>
      </c>
      <c r="AG122" s="0" t="n">
        <v>53533000</v>
      </c>
      <c r="AH122" s="0" t="n">
        <v>53533000</v>
      </c>
      <c r="AI122" s="0" t="n">
        <v>3764000</v>
      </c>
      <c r="AJ122" s="0" t="n">
        <v>57297000</v>
      </c>
      <c r="AK122" s="0" t="n">
        <v>53533000</v>
      </c>
      <c r="AL122" s="0" t="n">
        <v>53533000</v>
      </c>
      <c r="AN122" s="0" t="n">
        <v>5.024</v>
      </c>
      <c r="AO122" s="0" t="n">
        <v>3.092</v>
      </c>
      <c r="AP122" s="0" t="n">
        <v>4.598</v>
      </c>
      <c r="AQ122" s="0" t="n">
        <v>100</v>
      </c>
      <c r="AR122" s="0" t="n">
        <v>100</v>
      </c>
      <c r="AS122" s="1" t="n">
        <v>44097</v>
      </c>
      <c r="AT122" s="1" t="n">
        <v>47749</v>
      </c>
      <c r="AU122" s="1" t="n">
        <v>46295</v>
      </c>
      <c r="AV122" s="0" t="s">
        <v>475</v>
      </c>
      <c r="AW122" s="0" t="s">
        <v>234</v>
      </c>
      <c r="AX122" s="0" t="s">
        <v>187</v>
      </c>
      <c r="AY122" s="0" t="s">
        <v>476</v>
      </c>
      <c r="AZ122" s="0" t="s">
        <v>477</v>
      </c>
      <c r="BA122" s="0" t="s">
        <v>358</v>
      </c>
      <c r="BB122" s="0" t="s">
        <v>234</v>
      </c>
      <c r="BC122" s="0" t="s">
        <v>478</v>
      </c>
      <c r="BI122" s="0" t="n">
        <v>57297000</v>
      </c>
      <c r="BJ122" s="0" t="n">
        <v>57297000</v>
      </c>
      <c r="BK122" s="0" t="s">
        <v>253</v>
      </c>
      <c r="BL122" s="0" t="s">
        <v>201</v>
      </c>
      <c r="BN122" s="0" t="n">
        <v>6</v>
      </c>
      <c r="BO122" s="0" t="n">
        <v>4.23</v>
      </c>
      <c r="BP122" s="0" t="s">
        <v>187</v>
      </c>
      <c r="BQ122" s="0" t="s">
        <v>202</v>
      </c>
      <c r="BR122" s="0" t="s">
        <v>203</v>
      </c>
      <c r="BS122" s="0" t="s">
        <v>479</v>
      </c>
      <c r="BT122" s="0" t="s">
        <v>269</v>
      </c>
      <c r="BU122" s="0" t="s">
        <v>255</v>
      </c>
      <c r="BW122" s="0" t="s">
        <v>206</v>
      </c>
      <c r="BX122" s="0" t="s">
        <v>207</v>
      </c>
      <c r="BY122" s="0" t="n">
        <v>125</v>
      </c>
      <c r="BZ122" s="0" t="n">
        <v>125</v>
      </c>
      <c r="CC122" s="0" t="s">
        <v>317</v>
      </c>
      <c r="CD122" s="0" t="s">
        <v>317</v>
      </c>
      <c r="CE122" s="0" t="s">
        <v>211</v>
      </c>
      <c r="CF122" s="0" t="s">
        <v>211</v>
      </c>
      <c r="CG122" s="0" t="s">
        <v>211</v>
      </c>
      <c r="CH122" s="1" t="n">
        <v>46112</v>
      </c>
      <c r="CI122" s="0" t="n">
        <v>1.2</v>
      </c>
      <c r="CJ122" s="0" t="n">
        <v>2.23</v>
      </c>
      <c r="CK122" s="0" t="n">
        <v>2.34</v>
      </c>
      <c r="CL122" s="0" t="s">
        <v>212</v>
      </c>
      <c r="DA122" s="0" t="n">
        <v>0.76</v>
      </c>
      <c r="DC122" s="0" t="n">
        <v>0.85</v>
      </c>
      <c r="DD122" s="0" t="s">
        <v>212</v>
      </c>
      <c r="ED122" s="0" t="s">
        <v>212</v>
      </c>
      <c r="EE122" s="0" t="n">
        <v>1.05</v>
      </c>
      <c r="EI122" s="0" t="n">
        <v>1.52</v>
      </c>
      <c r="FQ122" s="0" t="n">
        <v>42697761</v>
      </c>
    </row>
    <row r="123" customFormat="false" ht="15" hidden="false" customHeight="false" outlineLevel="0" collapsed="false">
      <c r="B123" s="0" t="str">
        <f aca="false">C123&amp;"x"&amp;I123</f>
        <v>61004x100224</v>
      </c>
      <c r="C123" s="0" t="n">
        <f aca="false">IF(G123="SINGLE",H123,G123)</f>
        <v>61004</v>
      </c>
      <c r="D123" s="0" t="e">
        <f aca="false">_xlfn.XLOOKUP(I123,calculations!$t:$t,calculations!$s:$s)</f>
        <v>#VALUE!</v>
      </c>
      <c r="E123" s="0" t="str">
        <f aca="false">_xlfn.XLOOKUP(I123,Mapping!$T:$T,Mapping!$Q:$Q)</f>
        <v>VERT22</v>
      </c>
      <c r="F123" s="1" t="n">
        <v>46203</v>
      </c>
      <c r="G123" s="0" t="n">
        <v>61004</v>
      </c>
      <c r="H123" s="0" t="n">
        <v>61004</v>
      </c>
      <c r="I123" s="0" t="n">
        <v>100224</v>
      </c>
      <c r="J123" s="0" t="s">
        <v>471</v>
      </c>
      <c r="K123" s="0" t="s">
        <v>390</v>
      </c>
      <c r="L123" s="0" t="s">
        <v>390</v>
      </c>
      <c r="M123" s="0" t="s">
        <v>184</v>
      </c>
      <c r="N123" s="0" t="n">
        <v>41655000</v>
      </c>
      <c r="O123" s="0" t="n">
        <v>41655000</v>
      </c>
      <c r="P123" s="0" t="s">
        <v>185</v>
      </c>
      <c r="Q123" s="0" t="s">
        <v>227</v>
      </c>
      <c r="R123" s="0" t="s">
        <v>202</v>
      </c>
      <c r="S123" s="0" t="s">
        <v>472</v>
      </c>
      <c r="T123" s="0" t="s">
        <v>189</v>
      </c>
      <c r="U123" s="0" t="s">
        <v>357</v>
      </c>
      <c r="V123" s="0" t="s">
        <v>358</v>
      </c>
      <c r="W123" s="0" t="s">
        <v>473</v>
      </c>
      <c r="X123" s="0" t="s">
        <v>474</v>
      </c>
      <c r="Y123" s="0" t="n">
        <v>5.3</v>
      </c>
      <c r="Z123" s="0" t="s">
        <v>185</v>
      </c>
      <c r="AA123" s="0" t="n">
        <v>1</v>
      </c>
      <c r="AB123" s="0" t="s">
        <v>187</v>
      </c>
      <c r="AC123" s="0" t="n">
        <v>44583000</v>
      </c>
      <c r="AD123" s="0" t="n">
        <v>44583000</v>
      </c>
      <c r="AE123" s="0" t="n">
        <v>44583000</v>
      </c>
      <c r="AF123" s="0" t="n">
        <v>0.9343</v>
      </c>
      <c r="AG123" s="0" t="n">
        <v>41655000</v>
      </c>
      <c r="AH123" s="0" t="n">
        <v>41655000</v>
      </c>
      <c r="AI123" s="0" t="n">
        <v>2928000</v>
      </c>
      <c r="AJ123" s="0" t="n">
        <v>44583000</v>
      </c>
      <c r="AK123" s="0" t="n">
        <v>41655000</v>
      </c>
      <c r="AL123" s="0" t="n">
        <v>41655000</v>
      </c>
      <c r="AN123" s="0" t="n">
        <v>3.775</v>
      </c>
      <c r="AO123" s="0" t="n">
        <v>3.081</v>
      </c>
      <c r="AP123" s="0" t="n">
        <v>6.099</v>
      </c>
      <c r="AQ123" s="0" t="n">
        <v>100</v>
      </c>
      <c r="AR123" s="0" t="n">
        <v>100</v>
      </c>
      <c r="AS123" s="1" t="n">
        <v>44097</v>
      </c>
      <c r="AT123" s="1" t="n">
        <v>47749</v>
      </c>
      <c r="AU123" s="1" t="n">
        <v>46295</v>
      </c>
      <c r="AV123" s="0" t="s">
        <v>475</v>
      </c>
      <c r="AW123" s="0" t="s">
        <v>234</v>
      </c>
      <c r="AX123" s="0" t="s">
        <v>187</v>
      </c>
      <c r="AY123" s="0" t="s">
        <v>476</v>
      </c>
      <c r="AZ123" s="0" t="s">
        <v>477</v>
      </c>
      <c r="BA123" s="0" t="s">
        <v>358</v>
      </c>
      <c r="BB123" s="0" t="s">
        <v>234</v>
      </c>
      <c r="BC123" s="0" t="s">
        <v>478</v>
      </c>
      <c r="BI123" s="0" t="n">
        <v>44583000</v>
      </c>
      <c r="BJ123" s="0" t="n">
        <v>44583000</v>
      </c>
      <c r="BK123" s="0" t="s">
        <v>253</v>
      </c>
      <c r="BL123" s="0" t="s">
        <v>201</v>
      </c>
      <c r="BN123" s="0" t="n">
        <v>6</v>
      </c>
      <c r="BO123" s="0" t="n">
        <v>4.23</v>
      </c>
      <c r="BP123" s="0" t="s">
        <v>187</v>
      </c>
      <c r="BQ123" s="0" t="s">
        <v>202</v>
      </c>
      <c r="BR123" s="0" t="s">
        <v>203</v>
      </c>
      <c r="BS123" s="0" t="s">
        <v>479</v>
      </c>
      <c r="BT123" s="0" t="s">
        <v>269</v>
      </c>
      <c r="BU123" s="0" t="s">
        <v>224</v>
      </c>
      <c r="BW123" s="0" t="s">
        <v>257</v>
      </c>
      <c r="BX123" s="0" t="s">
        <v>207</v>
      </c>
      <c r="BY123" s="0" t="n">
        <v>125</v>
      </c>
      <c r="BZ123" s="0" t="n">
        <v>125</v>
      </c>
      <c r="CC123" s="0" t="s">
        <v>317</v>
      </c>
      <c r="CD123" s="0" t="s">
        <v>317</v>
      </c>
      <c r="CE123" s="0" t="s">
        <v>211</v>
      </c>
      <c r="CF123" s="0" t="s">
        <v>211</v>
      </c>
      <c r="CG123" s="0" t="s">
        <v>211</v>
      </c>
      <c r="CH123" s="1" t="n">
        <v>46112</v>
      </c>
      <c r="CI123" s="0" t="n">
        <v>1.2</v>
      </c>
      <c r="CJ123" s="0" t="n">
        <v>1.59</v>
      </c>
      <c r="CK123" s="0" t="n">
        <v>1.67</v>
      </c>
      <c r="CL123" s="0" t="s">
        <v>212</v>
      </c>
      <c r="DA123" s="0" t="n">
        <v>0.63</v>
      </c>
      <c r="DC123" s="0" t="n">
        <v>0.85</v>
      </c>
      <c r="DD123" s="0" t="s">
        <v>212</v>
      </c>
      <c r="ED123" s="0" t="s">
        <v>212</v>
      </c>
      <c r="EE123" s="0" t="n">
        <v>1.05</v>
      </c>
      <c r="EI123" s="0" t="n">
        <v>1.97</v>
      </c>
      <c r="FQ123" s="0" t="n">
        <v>39551162</v>
      </c>
    </row>
    <row r="124" customFormat="false" ht="15" hidden="false" customHeight="false" outlineLevel="0" collapsed="false">
      <c r="B124" s="0" t="str">
        <f aca="false">C124&amp;"x"&amp;I124</f>
        <v>61017x100225</v>
      </c>
      <c r="C124" s="0" t="n">
        <f aca="false">IF(G124="SINGLE",H124,G124)</f>
        <v>61017</v>
      </c>
      <c r="D124" s="0" t="e">
        <f aca="false">_xlfn.XLOOKUP(I124,calculations!$t:$t,calculations!$s:$s)</f>
        <v>#VALUE!</v>
      </c>
      <c r="E124" s="0" t="str">
        <f aca="false">_xlfn.XLOOKUP(I124,Mapping!$T:$T,Mapping!$Q:$Q)</f>
        <v>WILL23</v>
      </c>
      <c r="F124" s="1" t="n">
        <v>46203</v>
      </c>
      <c r="G124" s="0" t="n">
        <v>61017</v>
      </c>
      <c r="H124" s="0" t="n">
        <v>61017</v>
      </c>
      <c r="I124" s="0" t="n">
        <v>100225</v>
      </c>
      <c r="J124" s="0" t="s">
        <v>481</v>
      </c>
      <c r="K124" s="0" t="s">
        <v>274</v>
      </c>
      <c r="L124" s="0" t="s">
        <v>274</v>
      </c>
      <c r="M124" s="0" t="s">
        <v>184</v>
      </c>
      <c r="N124" s="0" t="n">
        <v>26299000</v>
      </c>
      <c r="O124" s="0" t="n">
        <v>26299000</v>
      </c>
      <c r="P124" s="0" t="s">
        <v>185</v>
      </c>
      <c r="Q124" s="0" t="s">
        <v>227</v>
      </c>
      <c r="R124" s="0" t="s">
        <v>187</v>
      </c>
      <c r="S124" s="0" t="s">
        <v>482</v>
      </c>
      <c r="T124" s="0" t="s">
        <v>189</v>
      </c>
      <c r="U124" s="0" t="s">
        <v>190</v>
      </c>
      <c r="V124" s="0" t="s">
        <v>191</v>
      </c>
      <c r="W124" s="0" t="s">
        <v>483</v>
      </c>
      <c r="X124" s="0" t="s">
        <v>484</v>
      </c>
      <c r="Y124" s="0" t="n">
        <v>13</v>
      </c>
      <c r="Z124" s="0" t="s">
        <v>185</v>
      </c>
      <c r="AA124" s="0" t="n">
        <v>1</v>
      </c>
      <c r="AB124" s="0" t="s">
        <v>187</v>
      </c>
      <c r="AC124" s="0" t="n">
        <v>60488000</v>
      </c>
      <c r="AD124" s="0" t="n">
        <v>60488000</v>
      </c>
      <c r="AE124" s="0" t="n">
        <v>60488000</v>
      </c>
      <c r="AF124" s="0" t="n">
        <v>0.4348</v>
      </c>
      <c r="AG124" s="0" t="n">
        <v>26299000</v>
      </c>
      <c r="AH124" s="0" t="n">
        <v>26299000</v>
      </c>
      <c r="AI124" s="0" t="n">
        <v>34189000</v>
      </c>
      <c r="AJ124" s="0" t="n">
        <v>60488000</v>
      </c>
      <c r="AK124" s="0" t="n">
        <v>26299000</v>
      </c>
      <c r="AL124" s="0" t="n">
        <v>26299000</v>
      </c>
      <c r="AM124" s="0" t="s">
        <v>194</v>
      </c>
      <c r="AN124" s="0" t="n">
        <v>4.527</v>
      </c>
      <c r="AO124" s="0" t="n">
        <v>4.642</v>
      </c>
      <c r="AP124" s="0" t="n">
        <v>5.677</v>
      </c>
      <c r="AQ124" s="0" t="n">
        <v>100</v>
      </c>
      <c r="AR124" s="0" t="n">
        <v>100</v>
      </c>
      <c r="AS124" s="1" t="n">
        <v>45183</v>
      </c>
      <c r="AT124" s="1" t="n">
        <v>52304</v>
      </c>
      <c r="AU124" s="1" t="n">
        <v>46295</v>
      </c>
      <c r="AV124" s="0" t="s">
        <v>485</v>
      </c>
      <c r="AW124" s="0" t="s">
        <v>312</v>
      </c>
      <c r="AX124" s="0" t="s">
        <v>187</v>
      </c>
      <c r="AY124" s="0" t="s">
        <v>486</v>
      </c>
      <c r="AZ124" s="0" t="s">
        <v>487</v>
      </c>
      <c r="BA124" s="0" t="s">
        <v>191</v>
      </c>
      <c r="BB124" s="0" t="s">
        <v>312</v>
      </c>
      <c r="BC124" s="0" t="s">
        <v>488</v>
      </c>
      <c r="BI124" s="0" t="n">
        <v>60488000</v>
      </c>
      <c r="BJ124" s="0" t="n">
        <v>60488000</v>
      </c>
      <c r="BK124" s="0" t="s">
        <v>200</v>
      </c>
      <c r="BL124" s="0" t="s">
        <v>201</v>
      </c>
      <c r="BN124" s="0" t="n">
        <v>11.7</v>
      </c>
      <c r="BO124" s="0" t="n">
        <v>16.7</v>
      </c>
      <c r="BP124" s="0" t="s">
        <v>202</v>
      </c>
      <c r="BQ124" s="0" t="s">
        <v>187</v>
      </c>
      <c r="BR124" s="0" t="s">
        <v>203</v>
      </c>
      <c r="BS124" s="0" t="s">
        <v>489</v>
      </c>
      <c r="BT124" s="0" t="s">
        <v>205</v>
      </c>
      <c r="BU124" s="0" t="s">
        <v>205</v>
      </c>
      <c r="BW124" s="0" t="s">
        <v>206</v>
      </c>
      <c r="BX124" s="0" t="s">
        <v>217</v>
      </c>
      <c r="BY124" s="0" t="n">
        <v>125</v>
      </c>
      <c r="BZ124" s="0" t="n">
        <v>125</v>
      </c>
      <c r="CB124" s="0" t="s">
        <v>208</v>
      </c>
      <c r="CC124" s="0" t="s">
        <v>317</v>
      </c>
      <c r="CD124" s="0" t="s">
        <v>317</v>
      </c>
      <c r="CE124" s="0" t="s">
        <v>211</v>
      </c>
      <c r="CF124" s="0" t="s">
        <v>211</v>
      </c>
      <c r="CG124" s="0" t="s">
        <v>211</v>
      </c>
      <c r="CH124" s="1" t="n">
        <v>46112</v>
      </c>
      <c r="CI124" s="0" t="n">
        <v>1.2</v>
      </c>
      <c r="CJ124" s="0" t="n">
        <v>1.76</v>
      </c>
      <c r="CK124" s="0" t="n">
        <v>1.85</v>
      </c>
      <c r="CL124" s="0" t="s">
        <v>212</v>
      </c>
      <c r="DA124" s="0" t="n">
        <v>0.82</v>
      </c>
      <c r="DC124" s="0" t="n">
        <v>0.85</v>
      </c>
      <c r="DD124" s="0" t="s">
        <v>213</v>
      </c>
      <c r="ED124" s="0" t="s">
        <v>212</v>
      </c>
      <c r="EE124" s="0" t="n">
        <v>1.05</v>
      </c>
      <c r="EI124" s="0" t="n">
        <v>1.24</v>
      </c>
      <c r="FQ124" s="0" t="n">
        <v>67169444</v>
      </c>
    </row>
    <row r="125" customFormat="false" ht="15" hidden="false" customHeight="false" outlineLevel="0" collapsed="false">
      <c r="B125" s="0" t="str">
        <f aca="false">C125&amp;"x"&amp;I125</f>
        <v>61021x100225</v>
      </c>
      <c r="C125" s="0" t="n">
        <f aca="false">IF(G125="SINGLE",H125,G125)</f>
        <v>61021</v>
      </c>
      <c r="D125" s="0" t="e">
        <f aca="false">_xlfn.XLOOKUP(I125,calculations!$t:$t,calculations!$s:$s)</f>
        <v>#VALUE!</v>
      </c>
      <c r="E125" s="0" t="str">
        <f aca="false">_xlfn.XLOOKUP(I125,Mapping!$T:$T,Mapping!$Q:$Q)</f>
        <v>WILL23</v>
      </c>
      <c r="F125" s="1" t="n">
        <v>46203</v>
      </c>
      <c r="G125" s="0" t="n">
        <v>61021</v>
      </c>
      <c r="H125" s="0" t="n">
        <v>61021</v>
      </c>
      <c r="I125" s="0" t="n">
        <v>100225</v>
      </c>
      <c r="J125" s="0" t="s">
        <v>481</v>
      </c>
      <c r="K125" s="0" t="s">
        <v>214</v>
      </c>
      <c r="L125" s="0" t="s">
        <v>214</v>
      </c>
      <c r="M125" s="0" t="s">
        <v>184</v>
      </c>
      <c r="N125" s="0" t="n">
        <v>23607000</v>
      </c>
      <c r="O125" s="0" t="n">
        <v>23607000</v>
      </c>
      <c r="P125" s="0" t="s">
        <v>185</v>
      </c>
      <c r="Q125" s="0" t="s">
        <v>227</v>
      </c>
      <c r="R125" s="0" t="s">
        <v>187</v>
      </c>
      <c r="S125" s="0" t="s">
        <v>482</v>
      </c>
      <c r="T125" s="0" t="s">
        <v>189</v>
      </c>
      <c r="U125" s="0" t="s">
        <v>190</v>
      </c>
      <c r="V125" s="0" t="s">
        <v>191</v>
      </c>
      <c r="W125" s="0" t="s">
        <v>483</v>
      </c>
      <c r="X125" s="0" t="s">
        <v>484</v>
      </c>
      <c r="Y125" s="0" t="n">
        <v>13</v>
      </c>
      <c r="Z125" s="0" t="s">
        <v>185</v>
      </c>
      <c r="AA125" s="0" t="n">
        <v>1</v>
      </c>
      <c r="AB125" s="0" t="s">
        <v>187</v>
      </c>
      <c r="AC125" s="0" t="n">
        <v>54298000</v>
      </c>
      <c r="AD125" s="0" t="n">
        <v>54298000</v>
      </c>
      <c r="AE125" s="0" t="n">
        <v>54298000</v>
      </c>
      <c r="AF125" s="0" t="n">
        <v>0.4348</v>
      </c>
      <c r="AG125" s="0" t="n">
        <v>23607000</v>
      </c>
      <c r="AH125" s="0" t="n">
        <v>23607000</v>
      </c>
      <c r="AI125" s="0" t="n">
        <v>30691000</v>
      </c>
      <c r="AJ125" s="0" t="n">
        <v>54298000</v>
      </c>
      <c r="AK125" s="0" t="n">
        <v>23607000</v>
      </c>
      <c r="AL125" s="0" t="n">
        <v>23607000</v>
      </c>
      <c r="AM125" s="0" t="s">
        <v>194</v>
      </c>
      <c r="AN125" s="0" t="n">
        <v>4.137</v>
      </c>
      <c r="AO125" s="0" t="n">
        <v>5.689</v>
      </c>
      <c r="AP125" s="0" t="n">
        <v>5.665</v>
      </c>
      <c r="AQ125" s="0" t="n">
        <v>100</v>
      </c>
      <c r="AR125" s="0" t="n">
        <v>100</v>
      </c>
      <c r="AS125" s="1" t="n">
        <v>45183</v>
      </c>
      <c r="AT125" s="1" t="n">
        <v>52304</v>
      </c>
      <c r="AU125" s="1" t="n">
        <v>46295</v>
      </c>
      <c r="AV125" s="0" t="s">
        <v>485</v>
      </c>
      <c r="AW125" s="0" t="s">
        <v>312</v>
      </c>
      <c r="AX125" s="0" t="s">
        <v>187</v>
      </c>
      <c r="AY125" s="0" t="s">
        <v>486</v>
      </c>
      <c r="AZ125" s="0" t="s">
        <v>487</v>
      </c>
      <c r="BA125" s="0" t="s">
        <v>191</v>
      </c>
      <c r="BB125" s="0" t="s">
        <v>312</v>
      </c>
      <c r="BC125" s="0" t="s">
        <v>488</v>
      </c>
      <c r="BI125" s="0" t="n">
        <v>54298000</v>
      </c>
      <c r="BJ125" s="0" t="n">
        <v>54298000</v>
      </c>
      <c r="BK125" s="0" t="s">
        <v>200</v>
      </c>
      <c r="BL125" s="0" t="s">
        <v>201</v>
      </c>
      <c r="BN125" s="0" t="n">
        <v>11.7</v>
      </c>
      <c r="BO125" s="0" t="n">
        <v>16.7</v>
      </c>
      <c r="BP125" s="0" t="s">
        <v>202</v>
      </c>
      <c r="BQ125" s="0" t="s">
        <v>187</v>
      </c>
      <c r="BR125" s="0" t="s">
        <v>203</v>
      </c>
      <c r="BS125" s="0" t="s">
        <v>489</v>
      </c>
      <c r="BT125" s="0" t="s">
        <v>205</v>
      </c>
      <c r="BU125" s="0" t="s">
        <v>220</v>
      </c>
      <c r="BW125" s="0" t="s">
        <v>257</v>
      </c>
      <c r="BX125" s="0" t="s">
        <v>207</v>
      </c>
      <c r="BY125" s="0" t="n">
        <v>125</v>
      </c>
      <c r="BZ125" s="0" t="n">
        <v>125</v>
      </c>
      <c r="CB125" s="0" t="s">
        <v>208</v>
      </c>
      <c r="CC125" s="0" t="s">
        <v>317</v>
      </c>
      <c r="CD125" s="0" t="s">
        <v>317</v>
      </c>
      <c r="CE125" s="0" t="s">
        <v>211</v>
      </c>
      <c r="CF125" s="0" t="s">
        <v>211</v>
      </c>
      <c r="CG125" s="0" t="s">
        <v>211</v>
      </c>
      <c r="CH125" s="1" t="n">
        <v>46112</v>
      </c>
      <c r="CI125" s="0" t="n">
        <v>1.2</v>
      </c>
      <c r="CJ125" s="0" t="n">
        <v>2.49</v>
      </c>
      <c r="CK125" s="0" t="n">
        <v>2.61</v>
      </c>
      <c r="CL125" s="0" t="s">
        <v>212</v>
      </c>
      <c r="DA125" s="0" t="n">
        <v>0.77</v>
      </c>
      <c r="DC125" s="0" t="n">
        <v>0.85</v>
      </c>
      <c r="DD125" s="0" t="s">
        <v>212</v>
      </c>
      <c r="ED125" s="0" t="s">
        <v>212</v>
      </c>
      <c r="EE125" s="0" t="n">
        <v>1.05</v>
      </c>
      <c r="EI125" s="0" t="n">
        <v>1.48</v>
      </c>
      <c r="FQ125" s="0" t="n">
        <v>56014658</v>
      </c>
    </row>
    <row r="126" customFormat="false" ht="15" hidden="false" customHeight="false" outlineLevel="0" collapsed="false">
      <c r="B126" s="0" t="str">
        <f aca="false">C126&amp;"x"&amp;I126</f>
        <v>61010x100225</v>
      </c>
      <c r="C126" s="0" t="n">
        <f aca="false">IF(G126="SINGLE",H126,G126)</f>
        <v>61010</v>
      </c>
      <c r="D126" s="0" t="e">
        <f aca="false">_xlfn.XLOOKUP(I126,calculations!$t:$t,calculations!$s:$s)</f>
        <v>#VALUE!</v>
      </c>
      <c r="E126" s="0" t="str">
        <f aca="false">_xlfn.XLOOKUP(I126,Mapping!$T:$T,Mapping!$Q:$Q)</f>
        <v>WILL23</v>
      </c>
      <c r="F126" s="1" t="n">
        <v>46203</v>
      </c>
      <c r="G126" s="0" t="n">
        <v>61010</v>
      </c>
      <c r="H126" s="0" t="n">
        <v>61010</v>
      </c>
      <c r="I126" s="0" t="n">
        <v>100225</v>
      </c>
      <c r="J126" s="0" t="s">
        <v>481</v>
      </c>
      <c r="K126" s="0" t="s">
        <v>461</v>
      </c>
      <c r="L126" s="0" t="s">
        <v>461</v>
      </c>
      <c r="M126" s="0" t="s">
        <v>184</v>
      </c>
      <c r="N126" s="0" t="n">
        <v>16228000</v>
      </c>
      <c r="O126" s="0" t="n">
        <v>16228000</v>
      </c>
      <c r="P126" s="0" t="s">
        <v>185</v>
      </c>
      <c r="Q126" s="0" t="s">
        <v>227</v>
      </c>
      <c r="R126" s="0" t="s">
        <v>187</v>
      </c>
      <c r="S126" s="0" t="s">
        <v>482</v>
      </c>
      <c r="T126" s="0" t="s">
        <v>189</v>
      </c>
      <c r="U126" s="0" t="s">
        <v>190</v>
      </c>
      <c r="V126" s="0" t="s">
        <v>191</v>
      </c>
      <c r="W126" s="0" t="s">
        <v>483</v>
      </c>
      <c r="X126" s="0" t="s">
        <v>484</v>
      </c>
      <c r="Y126" s="0" t="n">
        <v>13</v>
      </c>
      <c r="Z126" s="0" t="s">
        <v>185</v>
      </c>
      <c r="AA126" s="0" t="n">
        <v>1</v>
      </c>
      <c r="AB126" s="0" t="s">
        <v>187</v>
      </c>
      <c r="AC126" s="0" t="n">
        <v>37326000</v>
      </c>
      <c r="AD126" s="0" t="n">
        <v>37326000</v>
      </c>
      <c r="AE126" s="0" t="n">
        <v>37326000</v>
      </c>
      <c r="AF126" s="0" t="n">
        <v>0.4348</v>
      </c>
      <c r="AG126" s="0" t="n">
        <v>16228000</v>
      </c>
      <c r="AH126" s="0" t="n">
        <v>16228000</v>
      </c>
      <c r="AI126" s="0" t="n">
        <v>21098000</v>
      </c>
      <c r="AJ126" s="0" t="n">
        <v>37326000</v>
      </c>
      <c r="AK126" s="0" t="n">
        <v>16228000</v>
      </c>
      <c r="AL126" s="0" t="n">
        <v>16228000</v>
      </c>
      <c r="AM126" s="0" t="s">
        <v>194</v>
      </c>
      <c r="AN126" s="0" t="n">
        <v>5.567</v>
      </c>
      <c r="AO126" s="0" t="n">
        <v>5.839</v>
      </c>
      <c r="AP126" s="0" t="n">
        <v>3.964</v>
      </c>
      <c r="AQ126" s="0" t="n">
        <v>100</v>
      </c>
      <c r="AR126" s="0" t="n">
        <v>100</v>
      </c>
      <c r="AS126" s="1" t="n">
        <v>45183</v>
      </c>
      <c r="AT126" s="1" t="n">
        <v>52304</v>
      </c>
      <c r="AU126" s="1" t="n">
        <v>46295</v>
      </c>
      <c r="AV126" s="0" t="s">
        <v>485</v>
      </c>
      <c r="AW126" s="0" t="s">
        <v>312</v>
      </c>
      <c r="AX126" s="0" t="s">
        <v>187</v>
      </c>
      <c r="AY126" s="0" t="s">
        <v>486</v>
      </c>
      <c r="AZ126" s="0" t="s">
        <v>487</v>
      </c>
      <c r="BA126" s="0" t="s">
        <v>191</v>
      </c>
      <c r="BB126" s="0" t="s">
        <v>312</v>
      </c>
      <c r="BC126" s="0" t="s">
        <v>488</v>
      </c>
      <c r="BI126" s="0" t="n">
        <v>37326000</v>
      </c>
      <c r="BJ126" s="0" t="n">
        <v>37326000</v>
      </c>
      <c r="BK126" s="0" t="s">
        <v>200</v>
      </c>
      <c r="BL126" s="0" t="s">
        <v>201</v>
      </c>
      <c r="BN126" s="0" t="n">
        <v>11.7</v>
      </c>
      <c r="BO126" s="0" t="n">
        <v>16.7</v>
      </c>
      <c r="BP126" s="0" t="s">
        <v>202</v>
      </c>
      <c r="BQ126" s="0" t="s">
        <v>187</v>
      </c>
      <c r="BR126" s="0" t="s">
        <v>203</v>
      </c>
      <c r="BS126" s="0" t="s">
        <v>489</v>
      </c>
      <c r="BT126" s="0" t="s">
        <v>205</v>
      </c>
      <c r="BU126" s="0" t="s">
        <v>205</v>
      </c>
      <c r="BW126" s="0" t="s">
        <v>206</v>
      </c>
      <c r="BX126" s="0" t="s">
        <v>207</v>
      </c>
      <c r="BY126" s="0" t="n">
        <v>125</v>
      </c>
      <c r="BZ126" s="0" t="n">
        <v>125</v>
      </c>
      <c r="CB126" s="0" t="s">
        <v>208</v>
      </c>
      <c r="CC126" s="0" t="s">
        <v>317</v>
      </c>
      <c r="CD126" s="0" t="s">
        <v>317</v>
      </c>
      <c r="CE126" s="0" t="s">
        <v>211</v>
      </c>
      <c r="CF126" s="0" t="s">
        <v>211</v>
      </c>
      <c r="CG126" s="0" t="s">
        <v>211</v>
      </c>
      <c r="CH126" s="1" t="n">
        <v>46112</v>
      </c>
      <c r="CI126" s="0" t="n">
        <v>1.2</v>
      </c>
      <c r="CJ126" s="0" t="n">
        <v>1.75</v>
      </c>
      <c r="CK126" s="0" t="n">
        <v>1.84</v>
      </c>
      <c r="CL126" s="0" t="s">
        <v>212</v>
      </c>
      <c r="DA126" s="0" t="n">
        <v>0.48</v>
      </c>
      <c r="DC126" s="0" t="n">
        <v>0.85</v>
      </c>
      <c r="DD126" s="0" t="s">
        <v>212</v>
      </c>
      <c r="ED126" s="0" t="s">
        <v>212</v>
      </c>
      <c r="EE126" s="0" t="n">
        <v>1.05</v>
      </c>
      <c r="EI126" s="0" t="n">
        <v>1.31</v>
      </c>
      <c r="FQ126" s="0" t="n">
        <v>60569981</v>
      </c>
    </row>
    <row r="127" customFormat="false" ht="15" hidden="false" customHeight="false" outlineLevel="0" collapsed="false">
      <c r="B127" s="0" t="str">
        <f aca="false">C127&amp;"x"&amp;I127</f>
        <v>61003x100225</v>
      </c>
      <c r="C127" s="0" t="n">
        <f aca="false">IF(G127="SINGLE",H127,G127)</f>
        <v>61003</v>
      </c>
      <c r="D127" s="0" t="e">
        <f aca="false">_xlfn.XLOOKUP(I127,calculations!$t:$t,calculations!$s:$s)</f>
        <v>#VALUE!</v>
      </c>
      <c r="E127" s="0" t="str">
        <f aca="false">_xlfn.XLOOKUP(I127,Mapping!$T:$T,Mapping!$Q:$Q)</f>
        <v>WILL23</v>
      </c>
      <c r="F127" s="1" t="n">
        <v>46203</v>
      </c>
      <c r="G127" s="0" t="n">
        <v>61003</v>
      </c>
      <c r="H127" s="0" t="n">
        <v>61003</v>
      </c>
      <c r="I127" s="0" t="n">
        <v>100225</v>
      </c>
      <c r="J127" s="0" t="s">
        <v>481</v>
      </c>
      <c r="K127" s="0" t="s">
        <v>226</v>
      </c>
      <c r="L127" s="0" t="s">
        <v>226</v>
      </c>
      <c r="M127" s="0" t="s">
        <v>184</v>
      </c>
      <c r="N127" s="0" t="n">
        <v>21512000</v>
      </c>
      <c r="O127" s="0" t="n">
        <v>21512000</v>
      </c>
      <c r="P127" s="0" t="s">
        <v>185</v>
      </c>
      <c r="Q127" s="0" t="s">
        <v>227</v>
      </c>
      <c r="R127" s="0" t="s">
        <v>187</v>
      </c>
      <c r="S127" s="0" t="s">
        <v>482</v>
      </c>
      <c r="T127" s="0" t="s">
        <v>189</v>
      </c>
      <c r="U127" s="0" t="s">
        <v>190</v>
      </c>
      <c r="V127" s="0" t="s">
        <v>191</v>
      </c>
      <c r="W127" s="0" t="s">
        <v>483</v>
      </c>
      <c r="X127" s="0" t="s">
        <v>484</v>
      </c>
      <c r="Y127" s="0" t="n">
        <v>13</v>
      </c>
      <c r="Z127" s="0" t="s">
        <v>185</v>
      </c>
      <c r="AA127" s="0" t="n">
        <v>1</v>
      </c>
      <c r="AB127" s="0" t="s">
        <v>187</v>
      </c>
      <c r="AC127" s="0" t="n">
        <v>49479000</v>
      </c>
      <c r="AD127" s="0" t="n">
        <v>49479000</v>
      </c>
      <c r="AE127" s="0" t="n">
        <v>49479000</v>
      </c>
      <c r="AF127" s="0" t="n">
        <v>0.4348</v>
      </c>
      <c r="AG127" s="0" t="n">
        <v>21512000</v>
      </c>
      <c r="AH127" s="0" t="n">
        <v>21512000</v>
      </c>
      <c r="AI127" s="0" t="n">
        <v>27967000</v>
      </c>
      <c r="AJ127" s="0" t="n">
        <v>49479000</v>
      </c>
      <c r="AK127" s="0" t="n">
        <v>21512000</v>
      </c>
      <c r="AL127" s="0" t="n">
        <v>21512000</v>
      </c>
      <c r="AM127" s="0" t="s">
        <v>194</v>
      </c>
      <c r="AN127" s="0" t="n">
        <v>5.023</v>
      </c>
      <c r="AO127" s="0" t="n">
        <v>3.8</v>
      </c>
      <c r="AP127" s="0" t="n">
        <v>2.824</v>
      </c>
      <c r="AQ127" s="0" t="n">
        <v>100</v>
      </c>
      <c r="AR127" s="0" t="n">
        <v>100</v>
      </c>
      <c r="AS127" s="1" t="n">
        <v>45183</v>
      </c>
      <c r="AT127" s="1" t="n">
        <v>52304</v>
      </c>
      <c r="AU127" s="1" t="n">
        <v>46295</v>
      </c>
      <c r="AV127" s="0" t="s">
        <v>485</v>
      </c>
      <c r="AW127" s="0" t="s">
        <v>312</v>
      </c>
      <c r="AX127" s="0" t="s">
        <v>187</v>
      </c>
      <c r="AY127" s="0" t="s">
        <v>486</v>
      </c>
      <c r="AZ127" s="0" t="s">
        <v>487</v>
      </c>
      <c r="BA127" s="0" t="s">
        <v>191</v>
      </c>
      <c r="BB127" s="0" t="s">
        <v>312</v>
      </c>
      <c r="BC127" s="0" t="s">
        <v>488</v>
      </c>
      <c r="BI127" s="0" t="n">
        <v>49479000</v>
      </c>
      <c r="BJ127" s="0" t="n">
        <v>49479000</v>
      </c>
      <c r="BK127" s="0" t="s">
        <v>200</v>
      </c>
      <c r="BL127" s="0" t="s">
        <v>201</v>
      </c>
      <c r="BN127" s="0" t="n">
        <v>11.7</v>
      </c>
      <c r="BO127" s="0" t="n">
        <v>16.7</v>
      </c>
      <c r="BP127" s="0" t="s">
        <v>202</v>
      </c>
      <c r="BQ127" s="0" t="s">
        <v>187</v>
      </c>
      <c r="BR127" s="0" t="s">
        <v>203</v>
      </c>
      <c r="BS127" s="0" t="s">
        <v>489</v>
      </c>
      <c r="BT127" s="0" t="s">
        <v>205</v>
      </c>
      <c r="BU127" s="0" t="s">
        <v>224</v>
      </c>
      <c r="BW127" s="0" t="s">
        <v>257</v>
      </c>
      <c r="BX127" s="0" t="s">
        <v>207</v>
      </c>
      <c r="BY127" s="0" t="n">
        <v>125</v>
      </c>
      <c r="BZ127" s="0" t="n">
        <v>125</v>
      </c>
      <c r="CB127" s="0" t="s">
        <v>208</v>
      </c>
      <c r="CC127" s="0" t="s">
        <v>317</v>
      </c>
      <c r="CD127" s="0" t="s">
        <v>317</v>
      </c>
      <c r="CE127" s="0" t="s">
        <v>211</v>
      </c>
      <c r="CF127" s="0" t="s">
        <v>211</v>
      </c>
      <c r="CG127" s="0" t="s">
        <v>211</v>
      </c>
      <c r="CH127" s="1" t="n">
        <v>46112</v>
      </c>
      <c r="CI127" s="0" t="n">
        <v>1.2</v>
      </c>
      <c r="CJ127" s="0" t="n">
        <v>2.01</v>
      </c>
      <c r="CK127" s="0" t="n">
        <v>2.11</v>
      </c>
      <c r="CL127" s="0" t="s">
        <v>212</v>
      </c>
      <c r="DA127" s="0" t="n">
        <v>0.63</v>
      </c>
      <c r="DC127" s="0" t="n">
        <v>0.85</v>
      </c>
      <c r="DD127" s="0" t="s">
        <v>212</v>
      </c>
      <c r="ED127" s="0" t="s">
        <v>213</v>
      </c>
      <c r="EE127" s="0" t="n">
        <v>1.05</v>
      </c>
      <c r="EI127" s="0" t="n">
        <v>1.14</v>
      </c>
      <c r="FQ127" s="0" t="n">
        <v>52498421</v>
      </c>
    </row>
    <row r="128" customFormat="false" ht="15" hidden="false" customHeight="false" outlineLevel="0" collapsed="false">
      <c r="B128" s="0" t="str">
        <f aca="false">C128&amp;"x"&amp;I128</f>
        <v>61007x100225</v>
      </c>
      <c r="C128" s="0" t="n">
        <f aca="false">IF(G128="SINGLE",H128,G128)</f>
        <v>61007</v>
      </c>
      <c r="D128" s="0" t="e">
        <f aca="false">_xlfn.XLOOKUP(I128,calculations!$t:$t,calculations!$s:$s)</f>
        <v>#VALUE!</v>
      </c>
      <c r="E128" s="0" t="str">
        <f aca="false">_xlfn.XLOOKUP(I128,Mapping!$T:$T,Mapping!$Q:$Q)</f>
        <v>WILL23</v>
      </c>
      <c r="F128" s="1" t="n">
        <v>46203</v>
      </c>
      <c r="G128" s="0" t="n">
        <v>61007</v>
      </c>
      <c r="H128" s="0" t="n">
        <v>61007</v>
      </c>
      <c r="I128" s="0" t="n">
        <v>100225</v>
      </c>
      <c r="J128" s="0" t="s">
        <v>481</v>
      </c>
      <c r="K128" s="0" t="s">
        <v>218</v>
      </c>
      <c r="L128" s="0" t="s">
        <v>218</v>
      </c>
      <c r="M128" s="0" t="s">
        <v>184</v>
      </c>
      <c r="N128" s="0" t="n">
        <v>11217000</v>
      </c>
      <c r="O128" s="0" t="n">
        <v>11217000</v>
      </c>
      <c r="P128" s="0" t="s">
        <v>219</v>
      </c>
      <c r="Q128" s="0" t="s">
        <v>227</v>
      </c>
      <c r="R128" s="0" t="s">
        <v>187</v>
      </c>
      <c r="S128" s="0" t="s">
        <v>482</v>
      </c>
      <c r="T128" s="0" t="s">
        <v>189</v>
      </c>
      <c r="U128" s="0" t="s">
        <v>190</v>
      </c>
      <c r="V128" s="0" t="s">
        <v>191</v>
      </c>
      <c r="W128" s="0" t="s">
        <v>483</v>
      </c>
      <c r="X128" s="0" t="s">
        <v>484</v>
      </c>
      <c r="Y128" s="0" t="n">
        <v>13</v>
      </c>
      <c r="Z128" s="0" t="s">
        <v>185</v>
      </c>
      <c r="AA128" s="0" t="n">
        <v>1</v>
      </c>
      <c r="AB128" s="0" t="s">
        <v>187</v>
      </c>
      <c r="AC128" s="0" t="n">
        <v>25799000</v>
      </c>
      <c r="AD128" s="0" t="n">
        <v>25799000</v>
      </c>
      <c r="AE128" s="0" t="n">
        <v>25799000</v>
      </c>
      <c r="AF128" s="0" t="n">
        <v>0.4348</v>
      </c>
      <c r="AG128" s="0" t="n">
        <v>11217000</v>
      </c>
      <c r="AH128" s="0" t="n">
        <v>11217000</v>
      </c>
      <c r="AI128" s="0" t="n">
        <v>14582000</v>
      </c>
      <c r="AJ128" s="0" t="n">
        <v>25799000</v>
      </c>
      <c r="AK128" s="0" t="n">
        <v>11217000</v>
      </c>
      <c r="AL128" s="0" t="n">
        <v>11217000</v>
      </c>
      <c r="AM128" s="0" t="s">
        <v>194</v>
      </c>
      <c r="AN128" s="0" t="n">
        <v>5.066</v>
      </c>
      <c r="AO128" s="0" t="n">
        <v>4.878</v>
      </c>
      <c r="AP128" s="0" t="n">
        <v>4.692</v>
      </c>
      <c r="AQ128" s="0" t="n">
        <v>100</v>
      </c>
      <c r="AR128" s="0" t="n">
        <v>100</v>
      </c>
      <c r="AS128" s="1" t="n">
        <v>45183</v>
      </c>
      <c r="AT128" s="1" t="n">
        <v>52304</v>
      </c>
      <c r="AU128" s="1" t="n">
        <v>46295</v>
      </c>
      <c r="AV128" s="0" t="s">
        <v>485</v>
      </c>
      <c r="AW128" s="0" t="s">
        <v>312</v>
      </c>
      <c r="AX128" s="0" t="s">
        <v>187</v>
      </c>
      <c r="AY128" s="0" t="s">
        <v>486</v>
      </c>
      <c r="AZ128" s="0" t="s">
        <v>487</v>
      </c>
      <c r="BA128" s="0" t="s">
        <v>191</v>
      </c>
      <c r="BB128" s="0" t="s">
        <v>312</v>
      </c>
      <c r="BC128" s="0" t="s">
        <v>488</v>
      </c>
      <c r="BI128" s="0" t="n">
        <v>25799000</v>
      </c>
      <c r="BJ128" s="0" t="n">
        <v>25799000</v>
      </c>
      <c r="BK128" s="0" t="s">
        <v>200</v>
      </c>
      <c r="BL128" s="0" t="s">
        <v>201</v>
      </c>
      <c r="BN128" s="0" t="n">
        <v>11.7</v>
      </c>
      <c r="BO128" s="0" t="n">
        <v>16.7</v>
      </c>
      <c r="BP128" s="0" t="s">
        <v>202</v>
      </c>
      <c r="BQ128" s="0" t="s">
        <v>187</v>
      </c>
      <c r="BR128" s="0" t="s">
        <v>203</v>
      </c>
      <c r="BS128" s="0" t="s">
        <v>489</v>
      </c>
      <c r="BT128" s="0" t="s">
        <v>205</v>
      </c>
      <c r="BU128" s="0" t="s">
        <v>220</v>
      </c>
      <c r="BW128" s="0" t="s">
        <v>206</v>
      </c>
      <c r="BX128" s="0" t="s">
        <v>217</v>
      </c>
      <c r="BY128" s="0" t="n">
        <v>125</v>
      </c>
      <c r="BZ128" s="0" t="n">
        <v>125</v>
      </c>
      <c r="CB128" s="0" t="s">
        <v>208</v>
      </c>
      <c r="CC128" s="0" t="s">
        <v>317</v>
      </c>
      <c r="CD128" s="0" t="s">
        <v>317</v>
      </c>
      <c r="CE128" s="0" t="s">
        <v>211</v>
      </c>
      <c r="CF128" s="0" t="s">
        <v>211</v>
      </c>
      <c r="CG128" s="0" t="s">
        <v>211</v>
      </c>
      <c r="CH128" s="1" t="n">
        <v>46112</v>
      </c>
      <c r="CI128" s="0" t="n">
        <v>1.2</v>
      </c>
      <c r="CJ128" s="0" t="n">
        <v>2.42</v>
      </c>
      <c r="CK128" s="0" t="n">
        <v>2.54</v>
      </c>
      <c r="CL128" s="0" t="s">
        <v>212</v>
      </c>
      <c r="DA128" s="0" t="n">
        <v>0.59</v>
      </c>
      <c r="DC128" s="0" t="n">
        <v>0.85</v>
      </c>
      <c r="DD128" s="0" t="s">
        <v>212</v>
      </c>
      <c r="ED128" s="0" t="s">
        <v>212</v>
      </c>
      <c r="EE128" s="0" t="n">
        <v>1.05</v>
      </c>
      <c r="EI128" s="0" t="n">
        <v>1.3</v>
      </c>
      <c r="FQ128" s="0" t="n">
        <v>41963671</v>
      </c>
    </row>
    <row r="129" customFormat="false" ht="15" hidden="false" customHeight="false" outlineLevel="0" collapsed="false">
      <c r="B129" s="0" t="str">
        <f aca="false">C129&amp;"x"&amp;I129</f>
        <v>61014x100226</v>
      </c>
      <c r="C129" s="0" t="n">
        <f aca="false">IF(G129="SINGLE",H129,G129)</f>
        <v>61014</v>
      </c>
      <c r="D129" s="0" t="e">
        <f aca="false">_xlfn.XLOOKUP(I129,calculations!$t:$t,calculations!$s:$s)</f>
        <v>#VALUE!</v>
      </c>
      <c r="E129" s="0" t="str">
        <f aca="false">_xlfn.XLOOKUP(I129,Mapping!$T:$T,Mapping!$Q:$Q)</f>
        <v>ZENI24</v>
      </c>
      <c r="F129" s="1" t="n">
        <v>46203</v>
      </c>
      <c r="G129" s="0" t="n">
        <v>61014</v>
      </c>
      <c r="H129" s="0" t="n">
        <v>61014</v>
      </c>
      <c r="I129" s="0" t="n">
        <v>100226</v>
      </c>
      <c r="J129" s="0" t="s">
        <v>490</v>
      </c>
      <c r="K129" s="0" t="s">
        <v>241</v>
      </c>
      <c r="L129" s="0" t="s">
        <v>241</v>
      </c>
      <c r="M129" s="0" t="s">
        <v>184</v>
      </c>
      <c r="N129" s="0" t="n">
        <v>24574000</v>
      </c>
      <c r="O129" s="0" t="n">
        <v>24574000</v>
      </c>
      <c r="P129" s="0" t="s">
        <v>185</v>
      </c>
      <c r="Q129" s="0" t="s">
        <v>227</v>
      </c>
      <c r="R129" s="0" t="s">
        <v>202</v>
      </c>
      <c r="S129" s="0" t="s">
        <v>491</v>
      </c>
      <c r="T129" s="0" t="s">
        <v>189</v>
      </c>
      <c r="U129" s="0" t="s">
        <v>357</v>
      </c>
      <c r="V129" s="0" t="s">
        <v>358</v>
      </c>
      <c r="W129" s="0" t="s">
        <v>492</v>
      </c>
      <c r="X129" s="0" t="s">
        <v>493</v>
      </c>
      <c r="Y129" s="0" t="n">
        <v>14.7</v>
      </c>
      <c r="Z129" s="0" t="s">
        <v>185</v>
      </c>
      <c r="AA129" s="0" t="n">
        <v>1</v>
      </c>
      <c r="AB129" s="0" t="s">
        <v>187</v>
      </c>
      <c r="AC129" s="0" t="n">
        <v>24743000</v>
      </c>
      <c r="AD129" s="0" t="n">
        <v>24743000</v>
      </c>
      <c r="AE129" s="0" t="n">
        <v>24743000</v>
      </c>
      <c r="AF129" s="0" t="n">
        <v>0.9932</v>
      </c>
      <c r="AG129" s="0" t="n">
        <v>24574000</v>
      </c>
      <c r="AH129" s="0" t="n">
        <v>24574000</v>
      </c>
      <c r="AI129" s="0" t="n">
        <v>169000</v>
      </c>
      <c r="AJ129" s="0" t="n">
        <v>24743000</v>
      </c>
      <c r="AK129" s="0" t="n">
        <v>24574000</v>
      </c>
      <c r="AL129" s="0" t="n">
        <v>24574000</v>
      </c>
      <c r="AM129" s="0" t="s">
        <v>194</v>
      </c>
      <c r="AN129" s="0" t="n">
        <v>4.596</v>
      </c>
      <c r="AO129" s="0" t="n">
        <v>3.653</v>
      </c>
      <c r="AP129" s="0" t="n">
        <v>4.4</v>
      </c>
      <c r="AQ129" s="0" t="n">
        <v>100</v>
      </c>
      <c r="AR129" s="0" t="n">
        <v>100</v>
      </c>
      <c r="AS129" s="1" t="n">
        <v>42009</v>
      </c>
      <c r="AT129" s="1" t="n">
        <v>51506</v>
      </c>
      <c r="AU129" s="1" t="n">
        <v>46295</v>
      </c>
      <c r="AV129" s="0" t="s">
        <v>494</v>
      </c>
      <c r="AW129" s="0" t="s">
        <v>495</v>
      </c>
      <c r="AX129" s="0" t="s">
        <v>187</v>
      </c>
      <c r="AY129" s="0" t="s">
        <v>496</v>
      </c>
      <c r="AZ129" s="0" t="s">
        <v>497</v>
      </c>
      <c r="BA129" s="0" t="s">
        <v>358</v>
      </c>
      <c r="BB129" s="0" t="s">
        <v>495</v>
      </c>
      <c r="BC129" s="0" t="s">
        <v>498</v>
      </c>
      <c r="BI129" s="0" t="n">
        <v>24743000</v>
      </c>
      <c r="BJ129" s="0" t="n">
        <v>24743000</v>
      </c>
      <c r="BK129" s="0" t="s">
        <v>200</v>
      </c>
      <c r="BL129" s="0" t="s">
        <v>201</v>
      </c>
      <c r="BN129" s="0" t="n">
        <v>15.6</v>
      </c>
      <c r="BO129" s="0" t="n">
        <v>14.52</v>
      </c>
      <c r="BP129" s="0" t="s">
        <v>202</v>
      </c>
      <c r="BQ129" s="0" t="s">
        <v>202</v>
      </c>
      <c r="BR129" s="0" t="s">
        <v>203</v>
      </c>
      <c r="BS129" s="0" t="s">
        <v>499</v>
      </c>
      <c r="BT129" s="0" t="s">
        <v>255</v>
      </c>
      <c r="BU129" s="0" t="s">
        <v>220</v>
      </c>
      <c r="BW129" s="0" t="s">
        <v>257</v>
      </c>
      <c r="BX129" s="0" t="s">
        <v>217</v>
      </c>
      <c r="BY129" s="0" t="n">
        <v>255</v>
      </c>
      <c r="BZ129" s="0" t="n">
        <v>255</v>
      </c>
      <c r="CB129" s="0" t="s">
        <v>208</v>
      </c>
      <c r="CC129" s="0" t="s">
        <v>256</v>
      </c>
      <c r="CD129" s="0" t="s">
        <v>256</v>
      </c>
      <c r="CE129" s="0" t="s">
        <v>211</v>
      </c>
      <c r="CF129" s="0" t="s">
        <v>211</v>
      </c>
      <c r="CG129" s="0" t="s">
        <v>211</v>
      </c>
      <c r="CH129" s="1" t="n">
        <v>46112</v>
      </c>
      <c r="CI129" s="0" t="n">
        <v>1.2</v>
      </c>
      <c r="CJ129" s="0" t="n">
        <v>3.18</v>
      </c>
      <c r="CK129" s="0" t="n">
        <v>3.34</v>
      </c>
      <c r="CL129" s="0" t="s">
        <v>212</v>
      </c>
      <c r="DA129" s="0" t="n">
        <v>0.81</v>
      </c>
      <c r="DC129" s="0" t="n">
        <v>0.85</v>
      </c>
      <c r="DD129" s="0" t="s">
        <v>213</v>
      </c>
      <c r="ED129" s="0" t="s">
        <v>212</v>
      </c>
      <c r="EE129" s="0" t="n">
        <v>1.05</v>
      </c>
      <c r="EI129" s="0" t="n">
        <v>1.52</v>
      </c>
      <c r="FQ129" s="0" t="n">
        <v>53241564</v>
      </c>
    </row>
    <row r="130" customFormat="false" ht="15" hidden="false" customHeight="false" outlineLevel="0" collapsed="false">
      <c r="B130" s="0" t="str">
        <f aca="false">C130&amp;"x"&amp;I130</f>
        <v>61014x100227</v>
      </c>
      <c r="C130" s="0" t="n">
        <f aca="false">IF(G130="SINGLE",H130,G130)</f>
        <v>61014</v>
      </c>
      <c r="D130" s="0" t="e">
        <f aca="false">_xlfn.XLOOKUP(I130,calculations!$t:$t,calculations!$s:$s)</f>
        <v>#VALUE!</v>
      </c>
      <c r="E130" s="0" t="str">
        <f aca="false">_xlfn.XLOOKUP(I130,Mapping!$T:$T,Mapping!$Q:$Q)</f>
        <v>ZENI24</v>
      </c>
      <c r="F130" s="1" t="n">
        <v>46203</v>
      </c>
      <c r="G130" s="0" t="n">
        <v>61014</v>
      </c>
      <c r="H130" s="0" t="n">
        <v>61014</v>
      </c>
      <c r="I130" s="0" t="n">
        <v>100227</v>
      </c>
      <c r="J130" s="0" t="s">
        <v>500</v>
      </c>
      <c r="K130" s="0" t="s">
        <v>241</v>
      </c>
      <c r="L130" s="0" t="s">
        <v>241</v>
      </c>
      <c r="M130" s="0" t="s">
        <v>184</v>
      </c>
      <c r="N130" s="0" t="n">
        <v>16383000</v>
      </c>
      <c r="O130" s="0" t="n">
        <v>16383000</v>
      </c>
      <c r="P130" s="0" t="s">
        <v>185</v>
      </c>
      <c r="Q130" s="0" t="s">
        <v>227</v>
      </c>
      <c r="R130" s="0" t="s">
        <v>202</v>
      </c>
      <c r="S130" s="0" t="s">
        <v>501</v>
      </c>
      <c r="T130" s="0" t="s">
        <v>189</v>
      </c>
      <c r="U130" s="0" t="s">
        <v>357</v>
      </c>
      <c r="V130" s="0" t="s">
        <v>358</v>
      </c>
      <c r="W130" s="0" t="s">
        <v>492</v>
      </c>
      <c r="X130" s="0" t="s">
        <v>493</v>
      </c>
      <c r="Y130" s="0" t="n">
        <v>14.7</v>
      </c>
      <c r="Z130" s="0" t="s">
        <v>185</v>
      </c>
      <c r="AA130" s="0" t="n">
        <v>1</v>
      </c>
      <c r="AB130" s="0" t="s">
        <v>187</v>
      </c>
      <c r="AC130" s="0" t="n">
        <v>16496000</v>
      </c>
      <c r="AD130" s="0" t="n">
        <v>16496000</v>
      </c>
      <c r="AE130" s="0" t="n">
        <v>16496000</v>
      </c>
      <c r="AF130" s="0" t="n">
        <v>0.9931</v>
      </c>
      <c r="AG130" s="0" t="n">
        <v>16383000</v>
      </c>
      <c r="AH130" s="0" t="n">
        <v>16383000</v>
      </c>
      <c r="AI130" s="0" t="n">
        <v>113000</v>
      </c>
      <c r="AJ130" s="0" t="n">
        <v>16496000</v>
      </c>
      <c r="AK130" s="0" t="n">
        <v>16383000</v>
      </c>
      <c r="AL130" s="0" t="n">
        <v>16383000</v>
      </c>
      <c r="AM130" s="0" t="s">
        <v>194</v>
      </c>
      <c r="AN130" s="0" t="n">
        <v>2.555</v>
      </c>
      <c r="AO130" s="0" t="n">
        <v>3.201</v>
      </c>
      <c r="AP130" s="0" t="n">
        <v>2.949</v>
      </c>
      <c r="AQ130" s="0" t="n">
        <v>100</v>
      </c>
      <c r="AR130" s="0" t="n">
        <v>100</v>
      </c>
      <c r="AS130" s="1" t="n">
        <v>42009</v>
      </c>
      <c r="AT130" s="1" t="n">
        <v>51506</v>
      </c>
      <c r="AU130" s="1" t="n">
        <v>46295</v>
      </c>
      <c r="AV130" s="0" t="s">
        <v>494</v>
      </c>
      <c r="AW130" s="0" t="s">
        <v>495</v>
      </c>
      <c r="AX130" s="0" t="s">
        <v>187</v>
      </c>
      <c r="AY130" s="0" t="s">
        <v>496</v>
      </c>
      <c r="AZ130" s="0" t="s">
        <v>497</v>
      </c>
      <c r="BA130" s="0" t="s">
        <v>358</v>
      </c>
      <c r="BB130" s="0" t="s">
        <v>495</v>
      </c>
      <c r="BC130" s="0" t="s">
        <v>498</v>
      </c>
      <c r="BI130" s="0" t="n">
        <v>16496000</v>
      </c>
      <c r="BJ130" s="0" t="n">
        <v>16496000</v>
      </c>
      <c r="BK130" s="0" t="s">
        <v>200</v>
      </c>
      <c r="BL130" s="0" t="s">
        <v>201</v>
      </c>
      <c r="BN130" s="0" t="n">
        <v>15.6</v>
      </c>
      <c r="BO130" s="0" t="n">
        <v>14.52</v>
      </c>
      <c r="BP130" s="0" t="s">
        <v>202</v>
      </c>
      <c r="BQ130" s="0" t="s">
        <v>202</v>
      </c>
      <c r="BR130" s="0" t="s">
        <v>203</v>
      </c>
      <c r="BS130" s="0" t="s">
        <v>502</v>
      </c>
      <c r="BT130" s="0" t="s">
        <v>255</v>
      </c>
      <c r="BU130" s="0" t="s">
        <v>255</v>
      </c>
      <c r="BW130" s="0" t="s">
        <v>206</v>
      </c>
      <c r="BX130" s="0" t="s">
        <v>207</v>
      </c>
      <c r="BY130" s="0" t="n">
        <v>255</v>
      </c>
      <c r="BZ130" s="0" t="n">
        <v>255</v>
      </c>
      <c r="CB130" s="0" t="s">
        <v>208</v>
      </c>
      <c r="CC130" s="0" t="s">
        <v>256</v>
      </c>
      <c r="CD130" s="0" t="s">
        <v>256</v>
      </c>
      <c r="CE130" s="0" t="s">
        <v>211</v>
      </c>
      <c r="CF130" s="0" t="s">
        <v>211</v>
      </c>
      <c r="CG130" s="0" t="s">
        <v>211</v>
      </c>
      <c r="CH130" s="1" t="n">
        <v>46112</v>
      </c>
      <c r="CI130" s="0" t="n">
        <v>1.2</v>
      </c>
      <c r="CJ130" s="0" t="n">
        <v>3.46</v>
      </c>
      <c r="CK130" s="0" t="n">
        <v>3.63</v>
      </c>
      <c r="CL130" s="0" t="s">
        <v>212</v>
      </c>
      <c r="DA130" s="0" t="n">
        <v>0.85</v>
      </c>
      <c r="DC130" s="0" t="n">
        <v>0.85</v>
      </c>
      <c r="DD130" s="0" t="s">
        <v>213</v>
      </c>
      <c r="ED130" s="0" t="s">
        <v>212</v>
      </c>
      <c r="EE130" s="0" t="n">
        <v>1.05</v>
      </c>
      <c r="EI130" s="0" t="n">
        <v>1.46</v>
      </c>
      <c r="FQ130" s="0" t="n">
        <v>62588297</v>
      </c>
    </row>
    <row r="131" customFormat="false" ht="15" hidden="false" customHeight="false" outlineLevel="0" collapsed="false">
      <c r="B131" s="0" t="str">
        <f aca="false">C131&amp;"x"&amp;I131</f>
        <v>61003x100226</v>
      </c>
      <c r="C131" s="0" t="n">
        <f aca="false">IF(G131="SINGLE",H131,G131)</f>
        <v>61003</v>
      </c>
      <c r="D131" s="0" t="e">
        <f aca="false">_xlfn.XLOOKUP(I131,calculations!$t:$t,calculations!$s:$s)</f>
        <v>#VALUE!</v>
      </c>
      <c r="E131" s="0" t="str">
        <f aca="false">_xlfn.XLOOKUP(I131,Mapping!$T:$T,Mapping!$Q:$Q)</f>
        <v>ZENI24</v>
      </c>
      <c r="F131" s="1" t="n">
        <v>46203</v>
      </c>
      <c r="G131" s="0" t="n">
        <v>61003</v>
      </c>
      <c r="H131" s="0" t="n">
        <v>61003</v>
      </c>
      <c r="I131" s="0" t="n">
        <v>100226</v>
      </c>
      <c r="J131" s="0" t="s">
        <v>490</v>
      </c>
      <c r="K131" s="0" t="s">
        <v>226</v>
      </c>
      <c r="L131" s="0" t="s">
        <v>226</v>
      </c>
      <c r="M131" s="0" t="s">
        <v>184</v>
      </c>
      <c r="N131" s="0" t="n">
        <v>30384000</v>
      </c>
      <c r="O131" s="0" t="n">
        <v>30384000</v>
      </c>
      <c r="P131" s="0" t="s">
        <v>185</v>
      </c>
      <c r="Q131" s="0" t="s">
        <v>227</v>
      </c>
      <c r="R131" s="0" t="s">
        <v>202</v>
      </c>
      <c r="S131" s="0" t="s">
        <v>491</v>
      </c>
      <c r="T131" s="0" t="s">
        <v>189</v>
      </c>
      <c r="U131" s="0" t="s">
        <v>357</v>
      </c>
      <c r="V131" s="0" t="s">
        <v>358</v>
      </c>
      <c r="W131" s="0" t="s">
        <v>492</v>
      </c>
      <c r="X131" s="0" t="s">
        <v>493</v>
      </c>
      <c r="Y131" s="0" t="n">
        <v>14.7</v>
      </c>
      <c r="Z131" s="0" t="s">
        <v>185</v>
      </c>
      <c r="AA131" s="0" t="n">
        <v>1</v>
      </c>
      <c r="AB131" s="0" t="s">
        <v>187</v>
      </c>
      <c r="AC131" s="0" t="n">
        <v>30593000</v>
      </c>
      <c r="AD131" s="0" t="n">
        <v>30593000</v>
      </c>
      <c r="AE131" s="0" t="n">
        <v>30593000</v>
      </c>
      <c r="AF131" s="0" t="n">
        <v>0.9932</v>
      </c>
      <c r="AG131" s="0" t="n">
        <v>30384000</v>
      </c>
      <c r="AH131" s="0" t="n">
        <v>30384000</v>
      </c>
      <c r="AI131" s="0" t="n">
        <v>209000</v>
      </c>
      <c r="AJ131" s="0" t="n">
        <v>30593000</v>
      </c>
      <c r="AK131" s="0" t="n">
        <v>30384000</v>
      </c>
      <c r="AL131" s="0" t="n">
        <v>30384000</v>
      </c>
      <c r="AM131" s="0" t="s">
        <v>194</v>
      </c>
      <c r="AN131" s="0" t="n">
        <v>3.717</v>
      </c>
      <c r="AO131" s="0" t="n">
        <v>2.819</v>
      </c>
      <c r="AP131" s="0" t="n">
        <v>5.211</v>
      </c>
      <c r="AQ131" s="0" t="n">
        <v>100</v>
      </c>
      <c r="AR131" s="0" t="n">
        <v>100</v>
      </c>
      <c r="AS131" s="1" t="n">
        <v>42009</v>
      </c>
      <c r="AT131" s="1" t="n">
        <v>51506</v>
      </c>
      <c r="AU131" s="1" t="n">
        <v>46295</v>
      </c>
      <c r="AV131" s="0" t="s">
        <v>494</v>
      </c>
      <c r="AW131" s="0" t="s">
        <v>495</v>
      </c>
      <c r="AX131" s="0" t="s">
        <v>187</v>
      </c>
      <c r="AY131" s="0" t="s">
        <v>496</v>
      </c>
      <c r="AZ131" s="0" t="s">
        <v>497</v>
      </c>
      <c r="BA131" s="0" t="s">
        <v>358</v>
      </c>
      <c r="BB131" s="0" t="s">
        <v>495</v>
      </c>
      <c r="BC131" s="0" t="s">
        <v>498</v>
      </c>
      <c r="BI131" s="0" t="n">
        <v>30593000</v>
      </c>
      <c r="BJ131" s="0" t="n">
        <v>30593000</v>
      </c>
      <c r="BK131" s="0" t="s">
        <v>200</v>
      </c>
      <c r="BL131" s="0" t="s">
        <v>201</v>
      </c>
      <c r="BN131" s="0" t="n">
        <v>15.6</v>
      </c>
      <c r="BO131" s="0" t="n">
        <v>14.52</v>
      </c>
      <c r="BP131" s="0" t="s">
        <v>202</v>
      </c>
      <c r="BQ131" s="0" t="s">
        <v>202</v>
      </c>
      <c r="BR131" s="0" t="s">
        <v>203</v>
      </c>
      <c r="BS131" s="0" t="s">
        <v>499</v>
      </c>
      <c r="BT131" s="0" t="s">
        <v>255</v>
      </c>
      <c r="BU131" s="0" t="s">
        <v>220</v>
      </c>
      <c r="BW131" s="0" t="s">
        <v>206</v>
      </c>
      <c r="BX131" s="0" t="s">
        <v>217</v>
      </c>
      <c r="BY131" s="0" t="n">
        <v>255</v>
      </c>
      <c r="BZ131" s="0" t="n">
        <v>255</v>
      </c>
      <c r="CB131" s="0" t="s">
        <v>208</v>
      </c>
      <c r="CC131" s="0" t="s">
        <v>256</v>
      </c>
      <c r="CD131" s="0" t="s">
        <v>256</v>
      </c>
      <c r="CE131" s="0" t="s">
        <v>211</v>
      </c>
      <c r="CF131" s="0" t="s">
        <v>211</v>
      </c>
      <c r="CG131" s="0" t="s">
        <v>211</v>
      </c>
      <c r="CH131" s="1" t="n">
        <v>46112</v>
      </c>
      <c r="CI131" s="0" t="n">
        <v>1.2</v>
      </c>
      <c r="CJ131" s="0" t="n">
        <v>1.26</v>
      </c>
      <c r="CK131" s="0" t="n">
        <v>1.32</v>
      </c>
      <c r="CL131" s="0" t="s">
        <v>213</v>
      </c>
      <c r="DA131" s="0" t="n">
        <v>0.5</v>
      </c>
      <c r="DC131" s="0" t="n">
        <v>0.85</v>
      </c>
      <c r="DD131" s="0" t="s">
        <v>212</v>
      </c>
      <c r="ED131" s="0" t="s">
        <v>212</v>
      </c>
      <c r="EE131" s="0" t="n">
        <v>1.05</v>
      </c>
      <c r="EI131" s="0" t="n">
        <v>1.31</v>
      </c>
      <c r="FQ131" s="0" t="n">
        <v>60987568</v>
      </c>
    </row>
    <row r="132" customFormat="false" ht="15" hidden="false" customHeight="false" outlineLevel="0" collapsed="false">
      <c r="B132" s="0" t="str">
        <f aca="false">C132&amp;"x"&amp;I132</f>
        <v>61003x100227</v>
      </c>
      <c r="C132" s="0" t="n">
        <f aca="false">IF(G132="SINGLE",H132,G132)</f>
        <v>61003</v>
      </c>
      <c r="D132" s="0" t="e">
        <f aca="false">_xlfn.XLOOKUP(I132,calculations!$t:$t,calculations!$s:$s)</f>
        <v>#VALUE!</v>
      </c>
      <c r="E132" s="0" t="str">
        <f aca="false">_xlfn.XLOOKUP(I132,Mapping!$T:$T,Mapping!$Q:$Q)</f>
        <v>ZENI24</v>
      </c>
      <c r="F132" s="1" t="n">
        <v>46203</v>
      </c>
      <c r="G132" s="0" t="n">
        <v>61003</v>
      </c>
      <c r="H132" s="0" t="n">
        <v>61003</v>
      </c>
      <c r="I132" s="0" t="n">
        <v>100227</v>
      </c>
      <c r="J132" s="0" t="s">
        <v>500</v>
      </c>
      <c r="K132" s="0" t="s">
        <v>226</v>
      </c>
      <c r="L132" s="0" t="s">
        <v>226</v>
      </c>
      <c r="M132" s="0" t="s">
        <v>184</v>
      </c>
      <c r="N132" s="0" t="n">
        <v>20255000</v>
      </c>
      <c r="O132" s="0" t="n">
        <v>20255000</v>
      </c>
      <c r="P132" s="0" t="s">
        <v>185</v>
      </c>
      <c r="Q132" s="0" t="s">
        <v>227</v>
      </c>
      <c r="R132" s="0" t="s">
        <v>202</v>
      </c>
      <c r="S132" s="0" t="s">
        <v>501</v>
      </c>
      <c r="T132" s="0" t="s">
        <v>189</v>
      </c>
      <c r="U132" s="0" t="s">
        <v>357</v>
      </c>
      <c r="V132" s="0" t="s">
        <v>358</v>
      </c>
      <c r="W132" s="0" t="s">
        <v>492</v>
      </c>
      <c r="X132" s="0" t="s">
        <v>493</v>
      </c>
      <c r="Y132" s="0" t="n">
        <v>14.7</v>
      </c>
      <c r="Z132" s="0" t="s">
        <v>185</v>
      </c>
      <c r="AA132" s="0" t="n">
        <v>1</v>
      </c>
      <c r="AB132" s="0" t="s">
        <v>187</v>
      </c>
      <c r="AC132" s="0" t="n">
        <v>20395000</v>
      </c>
      <c r="AD132" s="0" t="n">
        <v>20395000</v>
      </c>
      <c r="AE132" s="0" t="n">
        <v>20395000</v>
      </c>
      <c r="AF132" s="0" t="n">
        <v>0.9931</v>
      </c>
      <c r="AG132" s="0" t="n">
        <v>20255000</v>
      </c>
      <c r="AH132" s="0" t="n">
        <v>20255000</v>
      </c>
      <c r="AI132" s="0" t="n">
        <v>140000</v>
      </c>
      <c r="AJ132" s="0" t="n">
        <v>20395000</v>
      </c>
      <c r="AK132" s="0" t="n">
        <v>20255000</v>
      </c>
      <c r="AL132" s="0" t="n">
        <v>20255000</v>
      </c>
      <c r="AM132" s="0" t="s">
        <v>194</v>
      </c>
      <c r="AN132" s="0" t="n">
        <v>5.353</v>
      </c>
      <c r="AO132" s="0" t="n">
        <v>5.159</v>
      </c>
      <c r="AP132" s="0" t="n">
        <v>5.485</v>
      </c>
      <c r="AQ132" s="0" t="n">
        <v>100</v>
      </c>
      <c r="AR132" s="0" t="n">
        <v>100</v>
      </c>
      <c r="AS132" s="1" t="n">
        <v>42009</v>
      </c>
      <c r="AT132" s="1" t="n">
        <v>51506</v>
      </c>
      <c r="AU132" s="1" t="n">
        <v>46295</v>
      </c>
      <c r="AV132" s="0" t="s">
        <v>494</v>
      </c>
      <c r="AW132" s="0" t="s">
        <v>495</v>
      </c>
      <c r="AX132" s="0" t="s">
        <v>187</v>
      </c>
      <c r="AY132" s="0" t="s">
        <v>496</v>
      </c>
      <c r="AZ132" s="0" t="s">
        <v>497</v>
      </c>
      <c r="BA132" s="0" t="s">
        <v>358</v>
      </c>
      <c r="BB132" s="0" t="s">
        <v>495</v>
      </c>
      <c r="BC132" s="0" t="s">
        <v>498</v>
      </c>
      <c r="BI132" s="0" t="n">
        <v>20395000</v>
      </c>
      <c r="BJ132" s="0" t="n">
        <v>20395000</v>
      </c>
      <c r="BK132" s="0" t="s">
        <v>200</v>
      </c>
      <c r="BL132" s="0" t="s">
        <v>201</v>
      </c>
      <c r="BN132" s="0" t="n">
        <v>15.6</v>
      </c>
      <c r="BO132" s="0" t="n">
        <v>14.52</v>
      </c>
      <c r="BP132" s="0" t="s">
        <v>202</v>
      </c>
      <c r="BQ132" s="0" t="s">
        <v>202</v>
      </c>
      <c r="BR132" s="0" t="s">
        <v>203</v>
      </c>
      <c r="BS132" s="0" t="s">
        <v>502</v>
      </c>
      <c r="BT132" s="0" t="s">
        <v>255</v>
      </c>
      <c r="BU132" s="0" t="s">
        <v>224</v>
      </c>
      <c r="BW132" s="0" t="s">
        <v>257</v>
      </c>
      <c r="BX132" s="0" t="s">
        <v>217</v>
      </c>
      <c r="BY132" s="0" t="n">
        <v>255</v>
      </c>
      <c r="BZ132" s="0" t="n">
        <v>255</v>
      </c>
      <c r="CB132" s="0" t="s">
        <v>208</v>
      </c>
      <c r="CC132" s="0" t="s">
        <v>256</v>
      </c>
      <c r="CD132" s="0" t="s">
        <v>256</v>
      </c>
      <c r="CE132" s="0" t="s">
        <v>211</v>
      </c>
      <c r="CF132" s="0" t="s">
        <v>211</v>
      </c>
      <c r="CG132" s="0" t="s">
        <v>211</v>
      </c>
      <c r="CH132" s="1" t="n">
        <v>46112</v>
      </c>
      <c r="CI132" s="0" t="n">
        <v>1.2</v>
      </c>
      <c r="CJ132" s="0" t="n">
        <v>1.65</v>
      </c>
      <c r="CK132" s="0" t="n">
        <v>1.73</v>
      </c>
      <c r="CL132" s="0" t="s">
        <v>212</v>
      </c>
      <c r="DA132" s="0" t="n">
        <v>0.63</v>
      </c>
      <c r="DC132" s="0" t="n">
        <v>0.85</v>
      </c>
      <c r="DD132" s="0" t="s">
        <v>212</v>
      </c>
      <c r="ED132" s="0" t="s">
        <v>213</v>
      </c>
      <c r="EE132" s="0" t="n">
        <v>1.05</v>
      </c>
      <c r="EI132" s="0" t="n">
        <v>1.18</v>
      </c>
      <c r="FQ132" s="0" t="n">
        <v>60513664</v>
      </c>
    </row>
    <row r="133" customFormat="false" ht="15" hidden="false" customHeight="false" outlineLevel="0" collapsed="false">
      <c r="B133" s="0" t="str">
        <f aca="false">C133&amp;"x"&amp;I133</f>
        <v>61005x100226</v>
      </c>
      <c r="C133" s="0" t="n">
        <f aca="false">IF(G133="SINGLE",H133,G133)</f>
        <v>61005</v>
      </c>
      <c r="D133" s="0" t="e">
        <f aca="false">_xlfn.XLOOKUP(I133,calculations!$t:$t,calculations!$s:$s)</f>
        <v>#VALUE!</v>
      </c>
      <c r="E133" s="0" t="str">
        <f aca="false">_xlfn.XLOOKUP(I133,Mapping!$T:$T,Mapping!$Q:$Q)</f>
        <v>ZENI24</v>
      </c>
      <c r="F133" s="1" t="n">
        <v>46203</v>
      </c>
      <c r="G133" s="0" t="n">
        <v>61005</v>
      </c>
      <c r="H133" s="0" t="n">
        <v>61005</v>
      </c>
      <c r="I133" s="0" t="n">
        <v>100226</v>
      </c>
      <c r="J133" s="0" t="s">
        <v>490</v>
      </c>
      <c r="K133" s="0" t="s">
        <v>275</v>
      </c>
      <c r="L133" s="0" t="s">
        <v>275</v>
      </c>
      <c r="M133" s="0" t="s">
        <v>184</v>
      </c>
      <c r="N133" s="0" t="n">
        <v>23372000</v>
      </c>
      <c r="O133" s="0" t="n">
        <v>23372000</v>
      </c>
      <c r="P133" s="0" t="s">
        <v>185</v>
      </c>
      <c r="Q133" s="0" t="s">
        <v>227</v>
      </c>
      <c r="R133" s="0" t="s">
        <v>202</v>
      </c>
      <c r="S133" s="0" t="s">
        <v>491</v>
      </c>
      <c r="T133" s="0" t="s">
        <v>189</v>
      </c>
      <c r="U133" s="0" t="s">
        <v>357</v>
      </c>
      <c r="V133" s="0" t="s">
        <v>358</v>
      </c>
      <c r="W133" s="0" t="s">
        <v>492</v>
      </c>
      <c r="X133" s="0" t="s">
        <v>493</v>
      </c>
      <c r="Y133" s="0" t="n">
        <v>14.7</v>
      </c>
      <c r="Z133" s="0" t="s">
        <v>185</v>
      </c>
      <c r="AA133" s="0" t="n">
        <v>1</v>
      </c>
      <c r="AB133" s="0" t="s">
        <v>187</v>
      </c>
      <c r="AC133" s="0" t="n">
        <v>23533000</v>
      </c>
      <c r="AD133" s="0" t="n">
        <v>23533000</v>
      </c>
      <c r="AE133" s="0" t="n">
        <v>23533000</v>
      </c>
      <c r="AF133" s="0" t="n">
        <v>0.9932</v>
      </c>
      <c r="AG133" s="0" t="n">
        <v>23372000</v>
      </c>
      <c r="AH133" s="0" t="n">
        <v>23372000</v>
      </c>
      <c r="AI133" s="0" t="n">
        <v>161000</v>
      </c>
      <c r="AJ133" s="0" t="n">
        <v>23533000</v>
      </c>
      <c r="AK133" s="0" t="n">
        <v>23372000</v>
      </c>
      <c r="AL133" s="0" t="n">
        <v>23372000</v>
      </c>
      <c r="AM133" s="0" t="s">
        <v>194</v>
      </c>
      <c r="AN133" s="0" t="n">
        <v>6.493</v>
      </c>
      <c r="AO133" s="0" t="n">
        <v>4.225</v>
      </c>
      <c r="AP133" s="0" t="n">
        <v>4.758</v>
      </c>
      <c r="AQ133" s="0" t="n">
        <v>100</v>
      </c>
      <c r="AR133" s="0" t="n">
        <v>100</v>
      </c>
      <c r="AS133" s="1" t="n">
        <v>42009</v>
      </c>
      <c r="AT133" s="1" t="n">
        <v>51506</v>
      </c>
      <c r="AU133" s="1" t="n">
        <v>46295</v>
      </c>
      <c r="AV133" s="0" t="s">
        <v>494</v>
      </c>
      <c r="AW133" s="0" t="s">
        <v>495</v>
      </c>
      <c r="AX133" s="0" t="s">
        <v>187</v>
      </c>
      <c r="AY133" s="0" t="s">
        <v>496</v>
      </c>
      <c r="AZ133" s="0" t="s">
        <v>497</v>
      </c>
      <c r="BA133" s="0" t="s">
        <v>358</v>
      </c>
      <c r="BB133" s="0" t="s">
        <v>495</v>
      </c>
      <c r="BC133" s="0" t="s">
        <v>498</v>
      </c>
      <c r="BI133" s="0" t="n">
        <v>23533000</v>
      </c>
      <c r="BJ133" s="0" t="n">
        <v>23533000</v>
      </c>
      <c r="BK133" s="0" t="s">
        <v>200</v>
      </c>
      <c r="BL133" s="0" t="s">
        <v>201</v>
      </c>
      <c r="BN133" s="0" t="n">
        <v>15.6</v>
      </c>
      <c r="BO133" s="0" t="n">
        <v>14.52</v>
      </c>
      <c r="BP133" s="0" t="s">
        <v>202</v>
      </c>
      <c r="BQ133" s="0" t="s">
        <v>202</v>
      </c>
      <c r="BR133" s="0" t="s">
        <v>203</v>
      </c>
      <c r="BS133" s="0" t="s">
        <v>499</v>
      </c>
      <c r="BT133" s="0" t="s">
        <v>255</v>
      </c>
      <c r="BU133" s="0" t="s">
        <v>205</v>
      </c>
      <c r="BW133" s="0" t="s">
        <v>257</v>
      </c>
      <c r="BX133" s="0" t="s">
        <v>207</v>
      </c>
      <c r="BY133" s="0" t="n">
        <v>255</v>
      </c>
      <c r="BZ133" s="0" t="n">
        <v>255</v>
      </c>
      <c r="CB133" s="0" t="s">
        <v>208</v>
      </c>
      <c r="CC133" s="0" t="s">
        <v>256</v>
      </c>
      <c r="CD133" s="0" t="s">
        <v>256</v>
      </c>
      <c r="CE133" s="0" t="s">
        <v>211</v>
      </c>
      <c r="CF133" s="0" t="s">
        <v>211</v>
      </c>
      <c r="CG133" s="0" t="s">
        <v>211</v>
      </c>
      <c r="CH133" s="1" t="n">
        <v>46112</v>
      </c>
      <c r="CI133" s="0" t="n">
        <v>1.2</v>
      </c>
      <c r="CJ133" s="0" t="n">
        <v>1.71</v>
      </c>
      <c r="CK133" s="0" t="n">
        <v>1.8</v>
      </c>
      <c r="CL133" s="0" t="s">
        <v>212</v>
      </c>
      <c r="DA133" s="0" t="n">
        <v>0.54</v>
      </c>
      <c r="DC133" s="0" t="n">
        <v>0.85</v>
      </c>
      <c r="DD133" s="0" t="s">
        <v>212</v>
      </c>
      <c r="ED133" s="0" t="s">
        <v>212</v>
      </c>
      <c r="EE133" s="0" t="n">
        <v>1.05</v>
      </c>
      <c r="EI133" s="0" t="n">
        <v>1.97</v>
      </c>
      <c r="FQ133" s="0" t="n">
        <v>61893955</v>
      </c>
    </row>
    <row r="134" customFormat="false" ht="15" hidden="false" customHeight="false" outlineLevel="0" collapsed="false">
      <c r="B134" s="0" t="str">
        <f aca="false">C134&amp;"x"&amp;I134</f>
        <v>61005x100227</v>
      </c>
      <c r="C134" s="0" t="n">
        <f aca="false">IF(G134="SINGLE",H134,G134)</f>
        <v>61005</v>
      </c>
      <c r="D134" s="0" t="e">
        <f aca="false">_xlfn.XLOOKUP(I134,calculations!$t:$t,calculations!$s:$s)</f>
        <v>#VALUE!</v>
      </c>
      <c r="E134" s="0" t="str">
        <f aca="false">_xlfn.XLOOKUP(I134,Mapping!$T:$T,Mapping!$Q:$Q)</f>
        <v>ZENI24</v>
      </c>
      <c r="F134" s="1" t="n">
        <v>46203</v>
      </c>
      <c r="G134" s="0" t="n">
        <v>61005</v>
      </c>
      <c r="H134" s="0" t="n">
        <v>61005</v>
      </c>
      <c r="I134" s="0" t="n">
        <v>100227</v>
      </c>
      <c r="J134" s="0" t="s">
        <v>500</v>
      </c>
      <c r="K134" s="0" t="s">
        <v>275</v>
      </c>
      <c r="L134" s="0" t="s">
        <v>275</v>
      </c>
      <c r="M134" s="0" t="s">
        <v>184</v>
      </c>
      <c r="N134" s="0" t="n">
        <v>15582000</v>
      </c>
      <c r="O134" s="0" t="n">
        <v>15582000</v>
      </c>
      <c r="P134" s="0" t="s">
        <v>185</v>
      </c>
      <c r="Q134" s="0" t="s">
        <v>227</v>
      </c>
      <c r="R134" s="0" t="s">
        <v>202</v>
      </c>
      <c r="S134" s="0" t="s">
        <v>501</v>
      </c>
      <c r="T134" s="0" t="s">
        <v>189</v>
      </c>
      <c r="U134" s="0" t="s">
        <v>357</v>
      </c>
      <c r="V134" s="0" t="s">
        <v>358</v>
      </c>
      <c r="W134" s="0" t="s">
        <v>492</v>
      </c>
      <c r="X134" s="0" t="s">
        <v>493</v>
      </c>
      <c r="Y134" s="0" t="n">
        <v>14.7</v>
      </c>
      <c r="Z134" s="0" t="s">
        <v>185</v>
      </c>
      <c r="AA134" s="0" t="n">
        <v>1</v>
      </c>
      <c r="AB134" s="0" t="s">
        <v>187</v>
      </c>
      <c r="AC134" s="0" t="n">
        <v>15689000</v>
      </c>
      <c r="AD134" s="0" t="n">
        <v>15689000</v>
      </c>
      <c r="AE134" s="0" t="n">
        <v>15689000</v>
      </c>
      <c r="AF134" s="0" t="n">
        <v>0.9932</v>
      </c>
      <c r="AG134" s="0" t="n">
        <v>15582000</v>
      </c>
      <c r="AH134" s="0" t="n">
        <v>15582000</v>
      </c>
      <c r="AI134" s="0" t="n">
        <v>107000</v>
      </c>
      <c r="AJ134" s="0" t="n">
        <v>15689000</v>
      </c>
      <c r="AK134" s="0" t="n">
        <v>15582000</v>
      </c>
      <c r="AL134" s="0" t="n">
        <v>15582000</v>
      </c>
      <c r="AM134" s="0" t="s">
        <v>194</v>
      </c>
      <c r="AN134" s="0" t="n">
        <v>6.328</v>
      </c>
      <c r="AO134" s="0" t="n">
        <v>2.918</v>
      </c>
      <c r="AP134" s="0" t="n">
        <v>4.375</v>
      </c>
      <c r="AQ134" s="0" t="n">
        <v>100</v>
      </c>
      <c r="AR134" s="0" t="n">
        <v>100</v>
      </c>
      <c r="AS134" s="1" t="n">
        <v>42009</v>
      </c>
      <c r="AT134" s="1" t="n">
        <v>51506</v>
      </c>
      <c r="AU134" s="1" t="n">
        <v>46295</v>
      </c>
      <c r="AV134" s="0" t="s">
        <v>494</v>
      </c>
      <c r="AW134" s="0" t="s">
        <v>495</v>
      </c>
      <c r="AX134" s="0" t="s">
        <v>187</v>
      </c>
      <c r="AY134" s="0" t="s">
        <v>496</v>
      </c>
      <c r="AZ134" s="0" t="s">
        <v>497</v>
      </c>
      <c r="BA134" s="0" t="s">
        <v>358</v>
      </c>
      <c r="BB134" s="0" t="s">
        <v>495</v>
      </c>
      <c r="BC134" s="0" t="s">
        <v>498</v>
      </c>
      <c r="BI134" s="0" t="n">
        <v>15689000</v>
      </c>
      <c r="BJ134" s="0" t="n">
        <v>15689000</v>
      </c>
      <c r="BK134" s="0" t="s">
        <v>200</v>
      </c>
      <c r="BL134" s="0" t="s">
        <v>201</v>
      </c>
      <c r="BN134" s="0" t="n">
        <v>15.6</v>
      </c>
      <c r="BO134" s="0" t="n">
        <v>14.52</v>
      </c>
      <c r="BP134" s="0" t="s">
        <v>202</v>
      </c>
      <c r="BQ134" s="0" t="s">
        <v>202</v>
      </c>
      <c r="BR134" s="0" t="s">
        <v>203</v>
      </c>
      <c r="BS134" s="0" t="s">
        <v>502</v>
      </c>
      <c r="BT134" s="0" t="s">
        <v>255</v>
      </c>
      <c r="BU134" s="0" t="s">
        <v>220</v>
      </c>
      <c r="BW134" s="0" t="s">
        <v>257</v>
      </c>
      <c r="BX134" s="0" t="s">
        <v>217</v>
      </c>
      <c r="BY134" s="0" t="n">
        <v>255</v>
      </c>
      <c r="BZ134" s="0" t="n">
        <v>255</v>
      </c>
      <c r="CB134" s="0" t="s">
        <v>208</v>
      </c>
      <c r="CC134" s="0" t="s">
        <v>256</v>
      </c>
      <c r="CD134" s="0" t="s">
        <v>256</v>
      </c>
      <c r="CE134" s="0" t="s">
        <v>211</v>
      </c>
      <c r="CF134" s="0" t="s">
        <v>211</v>
      </c>
      <c r="CG134" s="0" t="s">
        <v>211</v>
      </c>
      <c r="CH134" s="1" t="n">
        <v>46112</v>
      </c>
      <c r="CI134" s="0" t="n">
        <v>1.2</v>
      </c>
      <c r="CJ134" s="0" t="n">
        <v>2.79</v>
      </c>
      <c r="CK134" s="0" t="n">
        <v>2.93</v>
      </c>
      <c r="CL134" s="0" t="s">
        <v>212</v>
      </c>
      <c r="DA134" s="0" t="n">
        <v>0.82</v>
      </c>
      <c r="DC134" s="0" t="n">
        <v>0.85</v>
      </c>
      <c r="DD134" s="0" t="s">
        <v>213</v>
      </c>
      <c r="ED134" s="0" t="s">
        <v>212</v>
      </c>
      <c r="EE134" s="0" t="n">
        <v>1.05</v>
      </c>
      <c r="EI134" s="0" t="n">
        <v>1.33</v>
      </c>
      <c r="FQ134" s="0" t="n">
        <v>64662596</v>
      </c>
    </row>
    <row r="135" customFormat="false" ht="15" hidden="false" customHeight="false" outlineLevel="0" collapsed="false">
      <c r="B135" s="0" t="str">
        <f aca="false">C135&amp;"x"&amp;I135</f>
        <v>61001x100226</v>
      </c>
      <c r="C135" s="0" t="n">
        <f aca="false">IF(G135="SINGLE",H135,G135)</f>
        <v>61001</v>
      </c>
      <c r="D135" s="0" t="e">
        <f aca="false">_xlfn.XLOOKUP(I135,calculations!$t:$t,calculations!$s:$s)</f>
        <v>#VALUE!</v>
      </c>
      <c r="E135" s="0" t="str">
        <f aca="false">_xlfn.XLOOKUP(I135,Mapping!$T:$T,Mapping!$Q:$Q)</f>
        <v>ZENI24</v>
      </c>
      <c r="F135" s="1" t="n">
        <v>46203</v>
      </c>
      <c r="G135" s="0" t="n">
        <v>61001</v>
      </c>
      <c r="H135" s="0" t="n">
        <v>61001</v>
      </c>
      <c r="I135" s="0" t="n">
        <v>100226</v>
      </c>
      <c r="J135" s="0" t="s">
        <v>490</v>
      </c>
      <c r="K135" s="0" t="s">
        <v>345</v>
      </c>
      <c r="L135" s="0" t="s">
        <v>345</v>
      </c>
      <c r="M135" s="0" t="s">
        <v>184</v>
      </c>
      <c r="N135" s="0" t="n">
        <v>24246000</v>
      </c>
      <c r="O135" s="0" t="n">
        <v>24246000</v>
      </c>
      <c r="P135" s="0" t="s">
        <v>185</v>
      </c>
      <c r="Q135" s="0" t="s">
        <v>227</v>
      </c>
      <c r="R135" s="0" t="s">
        <v>202</v>
      </c>
      <c r="S135" s="0" t="s">
        <v>491</v>
      </c>
      <c r="T135" s="0" t="s">
        <v>189</v>
      </c>
      <c r="U135" s="0" t="s">
        <v>357</v>
      </c>
      <c r="V135" s="0" t="s">
        <v>358</v>
      </c>
      <c r="W135" s="0" t="s">
        <v>492</v>
      </c>
      <c r="X135" s="0" t="s">
        <v>493</v>
      </c>
      <c r="Y135" s="0" t="n">
        <v>14.7</v>
      </c>
      <c r="Z135" s="0" t="s">
        <v>185</v>
      </c>
      <c r="AA135" s="0" t="n">
        <v>1</v>
      </c>
      <c r="AB135" s="0" t="s">
        <v>187</v>
      </c>
      <c r="AC135" s="0" t="n">
        <v>24413000</v>
      </c>
      <c r="AD135" s="0" t="n">
        <v>24413000</v>
      </c>
      <c r="AE135" s="0" t="n">
        <v>24413000</v>
      </c>
      <c r="AF135" s="0" t="n">
        <v>0.9932</v>
      </c>
      <c r="AG135" s="0" t="n">
        <v>24246000</v>
      </c>
      <c r="AH135" s="0" t="n">
        <v>24246000</v>
      </c>
      <c r="AI135" s="0" t="n">
        <v>167000</v>
      </c>
      <c r="AJ135" s="0" t="n">
        <v>24413000</v>
      </c>
      <c r="AK135" s="0" t="n">
        <v>24246000</v>
      </c>
      <c r="AL135" s="0" t="n">
        <v>24246000</v>
      </c>
      <c r="AM135" s="0" t="s">
        <v>194</v>
      </c>
      <c r="AN135" s="0" t="n">
        <v>3.673</v>
      </c>
      <c r="AO135" s="0" t="n">
        <v>5.143</v>
      </c>
      <c r="AP135" s="0" t="n">
        <v>5.465</v>
      </c>
      <c r="AQ135" s="0" t="n">
        <v>100</v>
      </c>
      <c r="AR135" s="0" t="n">
        <v>100</v>
      </c>
      <c r="AS135" s="1" t="n">
        <v>42009</v>
      </c>
      <c r="AT135" s="1" t="n">
        <v>51506</v>
      </c>
      <c r="AU135" s="1" t="n">
        <v>46295</v>
      </c>
      <c r="AV135" s="0" t="s">
        <v>494</v>
      </c>
      <c r="AW135" s="0" t="s">
        <v>495</v>
      </c>
      <c r="AX135" s="0" t="s">
        <v>187</v>
      </c>
      <c r="AY135" s="0" t="s">
        <v>496</v>
      </c>
      <c r="AZ135" s="0" t="s">
        <v>497</v>
      </c>
      <c r="BA135" s="0" t="s">
        <v>358</v>
      </c>
      <c r="BB135" s="0" t="s">
        <v>495</v>
      </c>
      <c r="BC135" s="0" t="s">
        <v>498</v>
      </c>
      <c r="BI135" s="0" t="n">
        <v>24413000</v>
      </c>
      <c r="BJ135" s="0" t="n">
        <v>24413000</v>
      </c>
      <c r="BK135" s="0" t="s">
        <v>200</v>
      </c>
      <c r="BL135" s="0" t="s">
        <v>201</v>
      </c>
      <c r="BN135" s="0" t="n">
        <v>15.6</v>
      </c>
      <c r="BO135" s="0" t="n">
        <v>14.52</v>
      </c>
      <c r="BP135" s="0" t="s">
        <v>202</v>
      </c>
      <c r="BQ135" s="0" t="s">
        <v>202</v>
      </c>
      <c r="BR135" s="0" t="s">
        <v>203</v>
      </c>
      <c r="BS135" s="0" t="s">
        <v>499</v>
      </c>
      <c r="BT135" s="0" t="s">
        <v>255</v>
      </c>
      <c r="BU135" s="0" t="s">
        <v>269</v>
      </c>
      <c r="BW135" s="0" t="s">
        <v>206</v>
      </c>
      <c r="BX135" s="0" t="s">
        <v>217</v>
      </c>
      <c r="BY135" s="0" t="n">
        <v>255</v>
      </c>
      <c r="BZ135" s="0" t="n">
        <v>255</v>
      </c>
      <c r="CB135" s="0" t="s">
        <v>208</v>
      </c>
      <c r="CC135" s="0" t="s">
        <v>256</v>
      </c>
      <c r="CD135" s="0" t="s">
        <v>256</v>
      </c>
      <c r="CE135" s="0" t="s">
        <v>211</v>
      </c>
      <c r="CF135" s="0" t="s">
        <v>211</v>
      </c>
      <c r="CG135" s="0" t="s">
        <v>211</v>
      </c>
      <c r="CH135" s="1" t="n">
        <v>46112</v>
      </c>
      <c r="CI135" s="0" t="n">
        <v>1.2</v>
      </c>
      <c r="CJ135" s="0" t="n">
        <v>1.6</v>
      </c>
      <c r="CK135" s="0" t="n">
        <v>1.68</v>
      </c>
      <c r="CL135" s="0" t="s">
        <v>212</v>
      </c>
      <c r="DA135" s="0" t="n">
        <v>0.46</v>
      </c>
      <c r="DC135" s="0" t="n">
        <v>0.85</v>
      </c>
      <c r="DD135" s="0" t="s">
        <v>212</v>
      </c>
      <c r="ED135" s="0" t="s">
        <v>212</v>
      </c>
      <c r="EE135" s="0" t="n">
        <v>1.05</v>
      </c>
      <c r="EI135" s="0" t="n">
        <v>1.48</v>
      </c>
      <c r="FQ135" s="0" t="n">
        <v>59720278</v>
      </c>
    </row>
    <row r="136" customFormat="false" ht="15" hidden="false" customHeight="false" outlineLevel="0" collapsed="false">
      <c r="B136" s="0" t="str">
        <f aca="false">C136&amp;"x"&amp;I136</f>
        <v>61001x100227</v>
      </c>
      <c r="C136" s="0" t="n">
        <f aca="false">IF(G136="SINGLE",H136,G136)</f>
        <v>61001</v>
      </c>
      <c r="D136" s="0" t="e">
        <f aca="false">_xlfn.XLOOKUP(I136,calculations!$t:$t,calculations!$s:$s)</f>
        <v>#VALUE!</v>
      </c>
      <c r="E136" s="0" t="str">
        <f aca="false">_xlfn.XLOOKUP(I136,Mapping!$T:$T,Mapping!$Q:$Q)</f>
        <v>ZENI24</v>
      </c>
      <c r="F136" s="1" t="n">
        <v>46203</v>
      </c>
      <c r="G136" s="0" t="n">
        <v>61001</v>
      </c>
      <c r="H136" s="0" t="n">
        <v>61001</v>
      </c>
      <c r="I136" s="0" t="n">
        <v>100227</v>
      </c>
      <c r="J136" s="0" t="s">
        <v>500</v>
      </c>
      <c r="K136" s="0" t="s">
        <v>345</v>
      </c>
      <c r="L136" s="0" t="s">
        <v>345</v>
      </c>
      <c r="M136" s="0" t="s">
        <v>184</v>
      </c>
      <c r="N136" s="0" t="n">
        <v>16164000</v>
      </c>
      <c r="O136" s="0" t="n">
        <v>16164000</v>
      </c>
      <c r="P136" s="0" t="s">
        <v>185</v>
      </c>
      <c r="Q136" s="0" t="s">
        <v>227</v>
      </c>
      <c r="R136" s="0" t="s">
        <v>202</v>
      </c>
      <c r="S136" s="0" t="s">
        <v>501</v>
      </c>
      <c r="T136" s="0" t="s">
        <v>189</v>
      </c>
      <c r="U136" s="0" t="s">
        <v>357</v>
      </c>
      <c r="V136" s="0" t="s">
        <v>358</v>
      </c>
      <c r="W136" s="0" t="s">
        <v>492</v>
      </c>
      <c r="X136" s="0" t="s">
        <v>493</v>
      </c>
      <c r="Y136" s="0" t="n">
        <v>14.7</v>
      </c>
      <c r="Z136" s="0" t="s">
        <v>185</v>
      </c>
      <c r="AA136" s="0" t="n">
        <v>1</v>
      </c>
      <c r="AB136" s="0" t="s">
        <v>187</v>
      </c>
      <c r="AC136" s="0" t="n">
        <v>16275000</v>
      </c>
      <c r="AD136" s="0" t="n">
        <v>16275000</v>
      </c>
      <c r="AE136" s="0" t="n">
        <v>16275000</v>
      </c>
      <c r="AF136" s="0" t="n">
        <v>0.9932</v>
      </c>
      <c r="AG136" s="0" t="n">
        <v>16164000</v>
      </c>
      <c r="AH136" s="0" t="n">
        <v>16164000</v>
      </c>
      <c r="AI136" s="0" t="n">
        <v>111000</v>
      </c>
      <c r="AJ136" s="0" t="n">
        <v>16275000</v>
      </c>
      <c r="AK136" s="0" t="n">
        <v>16164000</v>
      </c>
      <c r="AL136" s="0" t="n">
        <v>16164000</v>
      </c>
      <c r="AM136" s="0" t="s">
        <v>194</v>
      </c>
      <c r="AN136" s="0" t="n">
        <v>6.431</v>
      </c>
      <c r="AO136" s="0" t="n">
        <v>5.999</v>
      </c>
      <c r="AP136" s="0" t="n">
        <v>4.266</v>
      </c>
      <c r="AQ136" s="0" t="n">
        <v>100</v>
      </c>
      <c r="AR136" s="0" t="n">
        <v>100</v>
      </c>
      <c r="AS136" s="1" t="n">
        <v>42009</v>
      </c>
      <c r="AT136" s="1" t="n">
        <v>51506</v>
      </c>
      <c r="AU136" s="1" t="n">
        <v>46295</v>
      </c>
      <c r="AV136" s="0" t="s">
        <v>494</v>
      </c>
      <c r="AW136" s="0" t="s">
        <v>495</v>
      </c>
      <c r="AX136" s="0" t="s">
        <v>187</v>
      </c>
      <c r="AY136" s="0" t="s">
        <v>496</v>
      </c>
      <c r="AZ136" s="0" t="s">
        <v>497</v>
      </c>
      <c r="BA136" s="0" t="s">
        <v>358</v>
      </c>
      <c r="BB136" s="0" t="s">
        <v>495</v>
      </c>
      <c r="BC136" s="0" t="s">
        <v>498</v>
      </c>
      <c r="BI136" s="0" t="n">
        <v>16275000</v>
      </c>
      <c r="BJ136" s="0" t="n">
        <v>16275000</v>
      </c>
      <c r="BK136" s="0" t="s">
        <v>200</v>
      </c>
      <c r="BL136" s="0" t="s">
        <v>201</v>
      </c>
      <c r="BN136" s="0" t="n">
        <v>15.6</v>
      </c>
      <c r="BO136" s="0" t="n">
        <v>14.52</v>
      </c>
      <c r="BP136" s="0" t="s">
        <v>202</v>
      </c>
      <c r="BQ136" s="0" t="s">
        <v>202</v>
      </c>
      <c r="BR136" s="0" t="s">
        <v>203</v>
      </c>
      <c r="BS136" s="0" t="s">
        <v>502</v>
      </c>
      <c r="BT136" s="0" t="s">
        <v>255</v>
      </c>
      <c r="BU136" s="0" t="s">
        <v>269</v>
      </c>
      <c r="BW136" s="0" t="s">
        <v>257</v>
      </c>
      <c r="BX136" s="0" t="s">
        <v>207</v>
      </c>
      <c r="BY136" s="0" t="n">
        <v>255</v>
      </c>
      <c r="BZ136" s="0" t="n">
        <v>255</v>
      </c>
      <c r="CB136" s="0" t="s">
        <v>208</v>
      </c>
      <c r="CC136" s="0" t="s">
        <v>256</v>
      </c>
      <c r="CD136" s="0" t="s">
        <v>256</v>
      </c>
      <c r="CE136" s="0" t="s">
        <v>211</v>
      </c>
      <c r="CF136" s="0" t="s">
        <v>211</v>
      </c>
      <c r="CG136" s="0" t="s">
        <v>211</v>
      </c>
      <c r="CH136" s="1" t="n">
        <v>46112</v>
      </c>
      <c r="CI136" s="0" t="n">
        <v>1.2</v>
      </c>
      <c r="CJ136" s="0" t="n">
        <v>1.22</v>
      </c>
      <c r="CK136" s="0" t="n">
        <v>1.28</v>
      </c>
      <c r="CL136" s="0" t="s">
        <v>213</v>
      </c>
      <c r="DA136" s="0" t="n">
        <v>0.74</v>
      </c>
      <c r="DC136" s="0" t="n">
        <v>0.85</v>
      </c>
      <c r="DD136" s="0" t="s">
        <v>212</v>
      </c>
      <c r="ED136" s="0" t="s">
        <v>212</v>
      </c>
      <c r="EE136" s="0" t="n">
        <v>1.05</v>
      </c>
      <c r="EI136" s="0" t="n">
        <v>1.73</v>
      </c>
      <c r="FQ136" s="0" t="n">
        <v>66478528</v>
      </c>
    </row>
    <row r="137" customFormat="false" ht="15" hidden="false" customHeight="false" outlineLevel="0" collapsed="false">
      <c r="B137" s="0" t="str">
        <f aca="false">C137&amp;"x"&amp;I137</f>
        <v>61006x100226</v>
      </c>
      <c r="C137" s="0" t="n">
        <f aca="false">IF(G137="SINGLE",H137,G137)</f>
        <v>61006</v>
      </c>
      <c r="D137" s="0" t="e">
        <f aca="false">_xlfn.XLOOKUP(I137,calculations!$t:$t,calculations!$s:$s)</f>
        <v>#VALUE!</v>
      </c>
      <c r="E137" s="0" t="str">
        <f aca="false">_xlfn.XLOOKUP(I137,Mapping!$T:$T,Mapping!$Q:$Q)</f>
        <v>ZENI24</v>
      </c>
      <c r="F137" s="1" t="n">
        <v>46203</v>
      </c>
      <c r="G137" s="0" t="n">
        <v>61006</v>
      </c>
      <c r="H137" s="0" t="n">
        <v>61006</v>
      </c>
      <c r="I137" s="0" t="n">
        <v>100226</v>
      </c>
      <c r="J137" s="0" t="s">
        <v>490</v>
      </c>
      <c r="K137" s="0" t="s">
        <v>480</v>
      </c>
      <c r="L137" s="0" t="s">
        <v>480</v>
      </c>
      <c r="M137" s="0" t="s">
        <v>184</v>
      </c>
      <c r="N137" s="0" t="n">
        <v>27088000</v>
      </c>
      <c r="O137" s="0" t="n">
        <v>27088000</v>
      </c>
      <c r="P137" s="0" t="s">
        <v>415</v>
      </c>
      <c r="Q137" s="0" t="s">
        <v>227</v>
      </c>
      <c r="R137" s="0" t="s">
        <v>202</v>
      </c>
      <c r="S137" s="0" t="s">
        <v>491</v>
      </c>
      <c r="T137" s="0" t="s">
        <v>189</v>
      </c>
      <c r="U137" s="0" t="s">
        <v>357</v>
      </c>
      <c r="V137" s="0" t="s">
        <v>358</v>
      </c>
      <c r="W137" s="0" t="s">
        <v>492</v>
      </c>
      <c r="X137" s="0" t="s">
        <v>493</v>
      </c>
      <c r="Y137" s="0" t="n">
        <v>14.7</v>
      </c>
      <c r="Z137" s="0" t="s">
        <v>185</v>
      </c>
      <c r="AA137" s="0" t="n">
        <v>1</v>
      </c>
      <c r="AB137" s="0" t="s">
        <v>187</v>
      </c>
      <c r="AC137" s="0" t="n">
        <v>27275000</v>
      </c>
      <c r="AD137" s="0" t="n">
        <v>27275000</v>
      </c>
      <c r="AE137" s="0" t="n">
        <v>27275000</v>
      </c>
      <c r="AF137" s="0" t="n">
        <v>0.9931</v>
      </c>
      <c r="AG137" s="0" t="n">
        <v>27088000</v>
      </c>
      <c r="AH137" s="0" t="n">
        <v>27088000</v>
      </c>
      <c r="AI137" s="0" t="n">
        <v>187000</v>
      </c>
      <c r="AJ137" s="0" t="n">
        <v>27275000</v>
      </c>
      <c r="AK137" s="0" t="n">
        <v>27088000</v>
      </c>
      <c r="AL137" s="0" t="n">
        <v>27088000</v>
      </c>
      <c r="AM137" s="0" t="s">
        <v>194</v>
      </c>
      <c r="AN137" s="0" t="n">
        <v>4.999</v>
      </c>
      <c r="AO137" s="0" t="n">
        <v>2.645</v>
      </c>
      <c r="AP137" s="0" t="n">
        <v>3.475</v>
      </c>
      <c r="AQ137" s="0" t="n">
        <v>100</v>
      </c>
      <c r="AR137" s="0" t="n">
        <v>100</v>
      </c>
      <c r="AS137" s="1" t="n">
        <v>42009</v>
      </c>
      <c r="AT137" s="1" t="n">
        <v>51506</v>
      </c>
      <c r="AU137" s="1" t="n">
        <v>46295</v>
      </c>
      <c r="AV137" s="0" t="s">
        <v>494</v>
      </c>
      <c r="AW137" s="0" t="s">
        <v>495</v>
      </c>
      <c r="AX137" s="0" t="s">
        <v>187</v>
      </c>
      <c r="AY137" s="0" t="s">
        <v>496</v>
      </c>
      <c r="AZ137" s="0" t="s">
        <v>497</v>
      </c>
      <c r="BA137" s="0" t="s">
        <v>358</v>
      </c>
      <c r="BB137" s="0" t="s">
        <v>495</v>
      </c>
      <c r="BC137" s="0" t="s">
        <v>498</v>
      </c>
      <c r="BI137" s="0" t="n">
        <v>27275000</v>
      </c>
      <c r="BJ137" s="0" t="n">
        <v>27275000</v>
      </c>
      <c r="BK137" s="0" t="s">
        <v>200</v>
      </c>
      <c r="BL137" s="0" t="s">
        <v>201</v>
      </c>
      <c r="BN137" s="0" t="n">
        <v>15.6</v>
      </c>
      <c r="BO137" s="0" t="n">
        <v>14.52</v>
      </c>
      <c r="BP137" s="0" t="s">
        <v>202</v>
      </c>
      <c r="BQ137" s="0" t="s">
        <v>202</v>
      </c>
      <c r="BR137" s="0" t="s">
        <v>203</v>
      </c>
      <c r="BS137" s="0" t="s">
        <v>499</v>
      </c>
      <c r="BT137" s="0" t="s">
        <v>255</v>
      </c>
      <c r="BU137" s="0" t="s">
        <v>255</v>
      </c>
      <c r="BW137" s="0" t="s">
        <v>257</v>
      </c>
      <c r="BX137" s="0" t="s">
        <v>207</v>
      </c>
      <c r="BY137" s="0" t="n">
        <v>255</v>
      </c>
      <c r="BZ137" s="0" t="n">
        <v>255</v>
      </c>
      <c r="CB137" s="0" t="s">
        <v>208</v>
      </c>
      <c r="CC137" s="0" t="s">
        <v>256</v>
      </c>
      <c r="CD137" s="0" t="s">
        <v>256</v>
      </c>
      <c r="CE137" s="0" t="s">
        <v>211</v>
      </c>
      <c r="CF137" s="0" t="s">
        <v>211</v>
      </c>
      <c r="CG137" s="0" t="s">
        <v>211</v>
      </c>
      <c r="CH137" s="1" t="n">
        <v>46112</v>
      </c>
      <c r="CI137" s="0" t="n">
        <v>1.2</v>
      </c>
      <c r="CJ137" s="0" t="n">
        <v>3.4</v>
      </c>
      <c r="CK137" s="0" t="n">
        <v>3.57</v>
      </c>
      <c r="CL137" s="0" t="s">
        <v>212</v>
      </c>
      <c r="DA137" s="0" t="n">
        <v>0.79</v>
      </c>
      <c r="DC137" s="0" t="n">
        <v>0.85</v>
      </c>
      <c r="DD137" s="0" t="s">
        <v>212</v>
      </c>
      <c r="ED137" s="0" t="s">
        <v>212</v>
      </c>
      <c r="EE137" s="0" t="n">
        <v>1.05</v>
      </c>
      <c r="EI137" s="0" t="n">
        <v>1.81</v>
      </c>
      <c r="FQ137" s="0" t="n">
        <v>47399558</v>
      </c>
    </row>
    <row r="138" customFormat="false" ht="15" hidden="false" customHeight="false" outlineLevel="0" collapsed="false">
      <c r="B138" s="0" t="str">
        <f aca="false">C138&amp;"x"&amp;I138</f>
        <v>61006x100227</v>
      </c>
      <c r="C138" s="0" t="n">
        <f aca="false">IF(G138="SINGLE",H138,G138)</f>
        <v>61006</v>
      </c>
      <c r="D138" s="0" t="e">
        <f aca="false">_xlfn.XLOOKUP(I138,calculations!$t:$t,calculations!$s:$s)</f>
        <v>#VALUE!</v>
      </c>
      <c r="E138" s="0" t="str">
        <f aca="false">_xlfn.XLOOKUP(I138,Mapping!$T:$T,Mapping!$Q:$Q)</f>
        <v>ZENI24</v>
      </c>
      <c r="F138" s="1" t="n">
        <v>46203</v>
      </c>
      <c r="G138" s="0" t="n">
        <v>61006</v>
      </c>
      <c r="H138" s="0" t="n">
        <v>61006</v>
      </c>
      <c r="I138" s="0" t="n">
        <v>100227</v>
      </c>
      <c r="J138" s="0" t="s">
        <v>500</v>
      </c>
      <c r="K138" s="0" t="s">
        <v>480</v>
      </c>
      <c r="L138" s="0" t="s">
        <v>480</v>
      </c>
      <c r="M138" s="0" t="s">
        <v>184</v>
      </c>
      <c r="N138" s="0" t="n">
        <v>18060000</v>
      </c>
      <c r="O138" s="0" t="n">
        <v>18060000</v>
      </c>
      <c r="P138" s="0" t="s">
        <v>415</v>
      </c>
      <c r="Q138" s="0" t="s">
        <v>227</v>
      </c>
      <c r="R138" s="0" t="s">
        <v>202</v>
      </c>
      <c r="S138" s="0" t="s">
        <v>501</v>
      </c>
      <c r="T138" s="0" t="s">
        <v>189</v>
      </c>
      <c r="U138" s="0" t="s">
        <v>357</v>
      </c>
      <c r="V138" s="0" t="s">
        <v>358</v>
      </c>
      <c r="W138" s="0" t="s">
        <v>492</v>
      </c>
      <c r="X138" s="0" t="s">
        <v>493</v>
      </c>
      <c r="Y138" s="0" t="n">
        <v>14.7</v>
      </c>
      <c r="Z138" s="0" t="s">
        <v>185</v>
      </c>
      <c r="AA138" s="0" t="n">
        <v>1</v>
      </c>
      <c r="AB138" s="0" t="s">
        <v>187</v>
      </c>
      <c r="AC138" s="0" t="n">
        <v>18184000</v>
      </c>
      <c r="AD138" s="0" t="n">
        <v>18184000</v>
      </c>
      <c r="AE138" s="0" t="n">
        <v>18184000</v>
      </c>
      <c r="AF138" s="0" t="n">
        <v>0.9932</v>
      </c>
      <c r="AG138" s="0" t="n">
        <v>18060000</v>
      </c>
      <c r="AH138" s="0" t="n">
        <v>18060000</v>
      </c>
      <c r="AI138" s="0" t="n">
        <v>124000</v>
      </c>
      <c r="AJ138" s="0" t="n">
        <v>18184000</v>
      </c>
      <c r="AK138" s="0" t="n">
        <v>18060000</v>
      </c>
      <c r="AL138" s="0" t="n">
        <v>18060000</v>
      </c>
      <c r="AM138" s="0" t="s">
        <v>194</v>
      </c>
      <c r="AN138" s="0" t="n">
        <v>4.932</v>
      </c>
      <c r="AO138" s="0" t="n">
        <v>6.137</v>
      </c>
      <c r="AP138" s="0" t="n">
        <v>2.526</v>
      </c>
      <c r="AQ138" s="0" t="n">
        <v>100</v>
      </c>
      <c r="AR138" s="0" t="n">
        <v>100</v>
      </c>
      <c r="AS138" s="1" t="n">
        <v>42009</v>
      </c>
      <c r="AT138" s="1" t="n">
        <v>51506</v>
      </c>
      <c r="AU138" s="1" t="n">
        <v>46295</v>
      </c>
      <c r="AV138" s="0" t="s">
        <v>494</v>
      </c>
      <c r="AW138" s="0" t="s">
        <v>495</v>
      </c>
      <c r="AX138" s="0" t="s">
        <v>187</v>
      </c>
      <c r="AY138" s="0" t="s">
        <v>496</v>
      </c>
      <c r="AZ138" s="0" t="s">
        <v>497</v>
      </c>
      <c r="BA138" s="0" t="s">
        <v>358</v>
      </c>
      <c r="BB138" s="0" t="s">
        <v>495</v>
      </c>
      <c r="BC138" s="0" t="s">
        <v>498</v>
      </c>
      <c r="BI138" s="0" t="n">
        <v>18184000</v>
      </c>
      <c r="BJ138" s="0" t="n">
        <v>18184000</v>
      </c>
      <c r="BK138" s="0" t="s">
        <v>200</v>
      </c>
      <c r="BL138" s="0" t="s">
        <v>201</v>
      </c>
      <c r="BN138" s="0" t="n">
        <v>15.6</v>
      </c>
      <c r="BO138" s="0" t="n">
        <v>14.52</v>
      </c>
      <c r="BP138" s="0" t="s">
        <v>202</v>
      </c>
      <c r="BQ138" s="0" t="s">
        <v>202</v>
      </c>
      <c r="BR138" s="0" t="s">
        <v>203</v>
      </c>
      <c r="BS138" s="0" t="s">
        <v>502</v>
      </c>
      <c r="BT138" s="0" t="s">
        <v>255</v>
      </c>
      <c r="BU138" s="0" t="s">
        <v>205</v>
      </c>
      <c r="BW138" s="0" t="s">
        <v>206</v>
      </c>
      <c r="BX138" s="0" t="s">
        <v>207</v>
      </c>
      <c r="BY138" s="0" t="n">
        <v>255</v>
      </c>
      <c r="BZ138" s="0" t="n">
        <v>255</v>
      </c>
      <c r="CB138" s="0" t="s">
        <v>208</v>
      </c>
      <c r="CC138" s="0" t="s">
        <v>256</v>
      </c>
      <c r="CD138" s="0" t="s">
        <v>256</v>
      </c>
      <c r="CE138" s="0" t="s">
        <v>211</v>
      </c>
      <c r="CF138" s="0" t="s">
        <v>211</v>
      </c>
      <c r="CG138" s="0" t="s">
        <v>211</v>
      </c>
      <c r="CH138" s="1" t="n">
        <v>46112</v>
      </c>
      <c r="CI138" s="0" t="n">
        <v>1.2</v>
      </c>
      <c r="CJ138" s="0" t="n">
        <v>3.35</v>
      </c>
      <c r="CK138" s="0" t="n">
        <v>3.52</v>
      </c>
      <c r="CL138" s="0" t="s">
        <v>212</v>
      </c>
      <c r="DA138" s="0" t="n">
        <v>0.68</v>
      </c>
      <c r="DC138" s="0" t="n">
        <v>0.85</v>
      </c>
      <c r="DD138" s="0" t="s">
        <v>212</v>
      </c>
      <c r="ED138" s="0" t="s">
        <v>212</v>
      </c>
      <c r="EE138" s="0" t="n">
        <v>1.05</v>
      </c>
      <c r="EI138" s="0" t="n">
        <v>1.94</v>
      </c>
      <c r="FQ138" s="0" t="n">
        <v>62286459</v>
      </c>
    </row>
    <row r="139" customFormat="false" ht="15" hidden="false" customHeight="false" outlineLevel="0" collapsed="false">
      <c r="B139" s="0" t="str">
        <f aca="false">C139&amp;"x"&amp;I139</f>
        <v>61020x100226</v>
      </c>
      <c r="C139" s="0" t="n">
        <f aca="false">IF(G139="SINGLE",H139,G139)</f>
        <v>61020</v>
      </c>
      <c r="D139" s="0" t="e">
        <f aca="false">_xlfn.XLOOKUP(I139,calculations!$t:$t,calculations!$s:$s)</f>
        <v>#VALUE!</v>
      </c>
      <c r="E139" s="0" t="str">
        <f aca="false">_xlfn.XLOOKUP(I139,Mapping!$T:$T,Mapping!$Q:$Q)</f>
        <v>ZENI24</v>
      </c>
      <c r="F139" s="1" t="n">
        <v>46203</v>
      </c>
      <c r="G139" s="0" t="n">
        <v>61020</v>
      </c>
      <c r="H139" s="0" t="n">
        <v>61020</v>
      </c>
      <c r="I139" s="0" t="n">
        <v>100226</v>
      </c>
      <c r="J139" s="0" t="s">
        <v>490</v>
      </c>
      <c r="K139" s="0" t="s">
        <v>293</v>
      </c>
      <c r="L139" s="0" t="s">
        <v>293</v>
      </c>
      <c r="M139" s="0" t="s">
        <v>184</v>
      </c>
      <c r="N139" s="0" t="n">
        <v>31325000</v>
      </c>
      <c r="O139" s="0" t="n">
        <v>31325000</v>
      </c>
      <c r="P139" s="0" t="s">
        <v>185</v>
      </c>
      <c r="Q139" s="0" t="s">
        <v>227</v>
      </c>
      <c r="R139" s="0" t="s">
        <v>202</v>
      </c>
      <c r="S139" s="0" t="s">
        <v>491</v>
      </c>
      <c r="T139" s="0" t="s">
        <v>189</v>
      </c>
      <c r="U139" s="0" t="s">
        <v>357</v>
      </c>
      <c r="V139" s="0" t="s">
        <v>358</v>
      </c>
      <c r="W139" s="0" t="s">
        <v>492</v>
      </c>
      <c r="X139" s="0" t="s">
        <v>493</v>
      </c>
      <c r="Y139" s="0" t="n">
        <v>14.7</v>
      </c>
      <c r="Z139" s="0" t="s">
        <v>185</v>
      </c>
      <c r="AA139" s="0" t="n">
        <v>1</v>
      </c>
      <c r="AB139" s="0" t="s">
        <v>187</v>
      </c>
      <c r="AC139" s="0" t="n">
        <v>31541000</v>
      </c>
      <c r="AD139" s="0" t="n">
        <v>31541000</v>
      </c>
      <c r="AE139" s="0" t="n">
        <v>31541000</v>
      </c>
      <c r="AF139" s="0" t="n">
        <v>0.9932</v>
      </c>
      <c r="AG139" s="0" t="n">
        <v>31325000</v>
      </c>
      <c r="AH139" s="0" t="n">
        <v>31325000</v>
      </c>
      <c r="AI139" s="0" t="n">
        <v>216000</v>
      </c>
      <c r="AJ139" s="0" t="n">
        <v>31541000</v>
      </c>
      <c r="AK139" s="0" t="n">
        <v>31325000</v>
      </c>
      <c r="AL139" s="0" t="n">
        <v>31325000</v>
      </c>
      <c r="AM139" s="0" t="s">
        <v>194</v>
      </c>
      <c r="AN139" s="0" t="n">
        <v>3.299</v>
      </c>
      <c r="AO139" s="0" t="n">
        <v>2.689</v>
      </c>
      <c r="AP139" s="0" t="n">
        <v>3.355</v>
      </c>
      <c r="AQ139" s="0" t="n">
        <v>100</v>
      </c>
      <c r="AR139" s="0" t="n">
        <v>100</v>
      </c>
      <c r="AS139" s="1" t="n">
        <v>42009</v>
      </c>
      <c r="AT139" s="1" t="n">
        <v>51506</v>
      </c>
      <c r="AU139" s="1" t="n">
        <v>46295</v>
      </c>
      <c r="AV139" s="0" t="s">
        <v>494</v>
      </c>
      <c r="AW139" s="0" t="s">
        <v>495</v>
      </c>
      <c r="AX139" s="0" t="s">
        <v>187</v>
      </c>
      <c r="AY139" s="0" t="s">
        <v>496</v>
      </c>
      <c r="AZ139" s="0" t="s">
        <v>497</v>
      </c>
      <c r="BA139" s="0" t="s">
        <v>358</v>
      </c>
      <c r="BB139" s="0" t="s">
        <v>495</v>
      </c>
      <c r="BC139" s="0" t="s">
        <v>498</v>
      </c>
      <c r="BI139" s="0" t="n">
        <v>31541000</v>
      </c>
      <c r="BJ139" s="0" t="n">
        <v>31541000</v>
      </c>
      <c r="BK139" s="0" t="s">
        <v>200</v>
      </c>
      <c r="BL139" s="0" t="s">
        <v>201</v>
      </c>
      <c r="BN139" s="0" t="n">
        <v>15.6</v>
      </c>
      <c r="BO139" s="0" t="n">
        <v>14.52</v>
      </c>
      <c r="BP139" s="0" t="s">
        <v>202</v>
      </c>
      <c r="BQ139" s="0" t="s">
        <v>202</v>
      </c>
      <c r="BR139" s="0" t="s">
        <v>203</v>
      </c>
      <c r="BS139" s="0" t="s">
        <v>499</v>
      </c>
      <c r="BT139" s="0" t="s">
        <v>255</v>
      </c>
      <c r="BU139" s="0" t="s">
        <v>224</v>
      </c>
      <c r="BW139" s="0" t="s">
        <v>257</v>
      </c>
      <c r="BX139" s="0" t="s">
        <v>217</v>
      </c>
      <c r="BY139" s="0" t="n">
        <v>255</v>
      </c>
      <c r="BZ139" s="0" t="n">
        <v>255</v>
      </c>
      <c r="CB139" s="0" t="s">
        <v>208</v>
      </c>
      <c r="CC139" s="0" t="s">
        <v>256</v>
      </c>
      <c r="CD139" s="0" t="s">
        <v>256</v>
      </c>
      <c r="CE139" s="0" t="s">
        <v>211</v>
      </c>
      <c r="CF139" s="0" t="s">
        <v>211</v>
      </c>
      <c r="CG139" s="0" t="s">
        <v>211</v>
      </c>
      <c r="CH139" s="1" t="n">
        <v>46112</v>
      </c>
      <c r="CI139" s="0" t="n">
        <v>1.2</v>
      </c>
      <c r="CJ139" s="0" t="n">
        <v>1.48</v>
      </c>
      <c r="CK139" s="0" t="n">
        <v>1.55</v>
      </c>
      <c r="CL139" s="0" t="s">
        <v>212</v>
      </c>
      <c r="DA139" s="0" t="n">
        <v>0.54</v>
      </c>
      <c r="DC139" s="0" t="n">
        <v>0.85</v>
      </c>
      <c r="DD139" s="0" t="s">
        <v>212</v>
      </c>
      <c r="ED139" s="0" t="s">
        <v>212</v>
      </c>
      <c r="EE139" s="0" t="n">
        <v>1.05</v>
      </c>
      <c r="EI139" s="0" t="n">
        <v>1.68</v>
      </c>
      <c r="FQ139" s="0" t="n">
        <v>46767676</v>
      </c>
    </row>
    <row r="140" customFormat="false" ht="15" hidden="false" customHeight="false" outlineLevel="0" collapsed="false">
      <c r="B140" s="0" t="str">
        <f aca="false">C140&amp;"x"&amp;I140</f>
        <v>61020x100227</v>
      </c>
      <c r="C140" s="0" t="n">
        <f aca="false">IF(G140="SINGLE",H140,G140)</f>
        <v>61020</v>
      </c>
      <c r="D140" s="0" t="e">
        <f aca="false">_xlfn.XLOOKUP(I140,calculations!$t:$t,calculations!$s:$s)</f>
        <v>#VALUE!</v>
      </c>
      <c r="E140" s="0" t="str">
        <f aca="false">_xlfn.XLOOKUP(I140,Mapping!$T:$T,Mapping!$Q:$Q)</f>
        <v>ZENI24</v>
      </c>
      <c r="F140" s="1" t="n">
        <v>46203</v>
      </c>
      <c r="G140" s="0" t="n">
        <v>61020</v>
      </c>
      <c r="H140" s="0" t="n">
        <v>61020</v>
      </c>
      <c r="I140" s="0" t="n">
        <v>100227</v>
      </c>
      <c r="J140" s="0" t="s">
        <v>500</v>
      </c>
      <c r="K140" s="0" t="s">
        <v>293</v>
      </c>
      <c r="L140" s="0" t="s">
        <v>293</v>
      </c>
      <c r="M140" s="0" t="s">
        <v>184</v>
      </c>
      <c r="N140" s="0" t="n">
        <v>20883000</v>
      </c>
      <c r="O140" s="0" t="n">
        <v>20883000</v>
      </c>
      <c r="P140" s="0" t="s">
        <v>185</v>
      </c>
      <c r="Q140" s="0" t="s">
        <v>227</v>
      </c>
      <c r="R140" s="0" t="s">
        <v>202</v>
      </c>
      <c r="S140" s="0" t="s">
        <v>501</v>
      </c>
      <c r="T140" s="0" t="s">
        <v>189</v>
      </c>
      <c r="U140" s="0" t="s">
        <v>357</v>
      </c>
      <c r="V140" s="0" t="s">
        <v>358</v>
      </c>
      <c r="W140" s="0" t="s">
        <v>492</v>
      </c>
      <c r="X140" s="0" t="s">
        <v>493</v>
      </c>
      <c r="Y140" s="0" t="n">
        <v>14.7</v>
      </c>
      <c r="Z140" s="0" t="s">
        <v>185</v>
      </c>
      <c r="AA140" s="0" t="n">
        <v>1</v>
      </c>
      <c r="AB140" s="0" t="s">
        <v>187</v>
      </c>
      <c r="AC140" s="0" t="n">
        <v>21027000</v>
      </c>
      <c r="AD140" s="0" t="n">
        <v>21027000</v>
      </c>
      <c r="AE140" s="0" t="n">
        <v>21027000</v>
      </c>
      <c r="AF140" s="0" t="n">
        <v>0.9932</v>
      </c>
      <c r="AG140" s="0" t="n">
        <v>20883000</v>
      </c>
      <c r="AH140" s="0" t="n">
        <v>20883000</v>
      </c>
      <c r="AI140" s="0" t="n">
        <v>144000</v>
      </c>
      <c r="AJ140" s="0" t="n">
        <v>21027000</v>
      </c>
      <c r="AK140" s="0" t="n">
        <v>20883000</v>
      </c>
      <c r="AL140" s="0" t="n">
        <v>20883000</v>
      </c>
      <c r="AM140" s="0" t="s">
        <v>194</v>
      </c>
      <c r="AN140" s="0" t="n">
        <v>5.347</v>
      </c>
      <c r="AO140" s="0" t="n">
        <v>2.942</v>
      </c>
      <c r="AP140" s="0" t="n">
        <v>5.083</v>
      </c>
      <c r="AQ140" s="0" t="n">
        <v>100</v>
      </c>
      <c r="AR140" s="0" t="n">
        <v>100</v>
      </c>
      <c r="AS140" s="1" t="n">
        <v>42009</v>
      </c>
      <c r="AT140" s="1" t="n">
        <v>51506</v>
      </c>
      <c r="AU140" s="1" t="n">
        <v>46295</v>
      </c>
      <c r="AV140" s="0" t="s">
        <v>494</v>
      </c>
      <c r="AW140" s="0" t="s">
        <v>495</v>
      </c>
      <c r="AX140" s="0" t="s">
        <v>187</v>
      </c>
      <c r="AY140" s="0" t="s">
        <v>496</v>
      </c>
      <c r="AZ140" s="0" t="s">
        <v>497</v>
      </c>
      <c r="BA140" s="0" t="s">
        <v>358</v>
      </c>
      <c r="BB140" s="0" t="s">
        <v>495</v>
      </c>
      <c r="BC140" s="0" t="s">
        <v>498</v>
      </c>
      <c r="BI140" s="0" t="n">
        <v>21027000</v>
      </c>
      <c r="BJ140" s="0" t="n">
        <v>21027000</v>
      </c>
      <c r="BK140" s="0" t="s">
        <v>200</v>
      </c>
      <c r="BL140" s="0" t="s">
        <v>201</v>
      </c>
      <c r="BN140" s="0" t="n">
        <v>15.6</v>
      </c>
      <c r="BO140" s="0" t="n">
        <v>14.52</v>
      </c>
      <c r="BP140" s="0" t="s">
        <v>202</v>
      </c>
      <c r="BQ140" s="0" t="s">
        <v>202</v>
      </c>
      <c r="BR140" s="0" t="s">
        <v>203</v>
      </c>
      <c r="BS140" s="0" t="s">
        <v>502</v>
      </c>
      <c r="BT140" s="0" t="s">
        <v>255</v>
      </c>
      <c r="BU140" s="0" t="s">
        <v>269</v>
      </c>
      <c r="BW140" s="0" t="s">
        <v>257</v>
      </c>
      <c r="BX140" s="0" t="s">
        <v>217</v>
      </c>
      <c r="BY140" s="0" t="n">
        <v>255</v>
      </c>
      <c r="BZ140" s="0" t="n">
        <v>255</v>
      </c>
      <c r="CB140" s="0" t="s">
        <v>208</v>
      </c>
      <c r="CC140" s="0" t="s">
        <v>256</v>
      </c>
      <c r="CD140" s="0" t="s">
        <v>256</v>
      </c>
      <c r="CE140" s="0" t="s">
        <v>211</v>
      </c>
      <c r="CF140" s="0" t="s">
        <v>211</v>
      </c>
      <c r="CG140" s="0" t="s">
        <v>211</v>
      </c>
      <c r="CH140" s="1" t="n">
        <v>46112</v>
      </c>
      <c r="CI140" s="0" t="n">
        <v>1.2</v>
      </c>
      <c r="CJ140" s="0" t="n">
        <v>2.54</v>
      </c>
      <c r="CK140" s="0" t="n">
        <v>2.67</v>
      </c>
      <c r="CL140" s="0" t="s">
        <v>212</v>
      </c>
      <c r="DA140" s="0" t="n">
        <v>0.51</v>
      </c>
      <c r="DC140" s="0" t="n">
        <v>0.85</v>
      </c>
      <c r="DD140" s="0" t="s">
        <v>212</v>
      </c>
      <c r="ED140" s="0" t="s">
        <v>212</v>
      </c>
      <c r="EE140" s="0" t="n">
        <v>1.05</v>
      </c>
      <c r="EI140" s="0" t="n">
        <v>1.74</v>
      </c>
      <c r="FQ140" s="0" t="n">
        <v>45757162</v>
      </c>
    </row>
    <row r="141" customFormat="false" ht="15" hidden="false" customHeight="false" outlineLevel="0" collapsed="false">
      <c r="B141" s="0" t="str">
        <f aca="false">C141&amp;"x"&amp;I141</f>
        <v>61020x100228</v>
      </c>
      <c r="C141" s="0" t="n">
        <f aca="false">IF(G141="SINGLE",H141,G141)</f>
        <v>61020</v>
      </c>
      <c r="D141" s="0" t="e">
        <f aca="false">_xlfn.XLOOKUP(I141,calculations!$t:$t,calculations!$s:$s)</f>
        <v>#VALUE!</v>
      </c>
      <c r="E141" s="0" t="str">
        <f aca="false">_xlfn.XLOOKUP(I141,Mapping!$T:$T,Mapping!$Q:$Q)</f>
        <v>ALDE25</v>
      </c>
      <c r="F141" s="1" t="n">
        <v>46203</v>
      </c>
      <c r="G141" s="0" t="n">
        <v>61020</v>
      </c>
      <c r="H141" s="0" t="n">
        <v>61020</v>
      </c>
      <c r="I141" s="0" t="n">
        <v>100228</v>
      </c>
      <c r="J141" s="0" t="s">
        <v>503</v>
      </c>
      <c r="K141" s="0" t="s">
        <v>293</v>
      </c>
      <c r="L141" s="0" t="s">
        <v>293</v>
      </c>
      <c r="M141" s="0" t="s">
        <v>184</v>
      </c>
      <c r="N141" s="0" t="n">
        <v>63165000</v>
      </c>
      <c r="O141" s="0" t="n">
        <v>63165000</v>
      </c>
      <c r="P141" s="0" t="s">
        <v>185</v>
      </c>
      <c r="Q141" s="0" t="s">
        <v>186</v>
      </c>
      <c r="R141" s="0" t="s">
        <v>187</v>
      </c>
      <c r="S141" s="0" t="s">
        <v>504</v>
      </c>
      <c r="T141" s="0" t="s">
        <v>189</v>
      </c>
      <c r="U141" s="0" t="s">
        <v>322</v>
      </c>
      <c r="V141" s="0" t="s">
        <v>323</v>
      </c>
      <c r="W141" s="0" t="s">
        <v>192</v>
      </c>
      <c r="X141" s="0" t="s">
        <v>505</v>
      </c>
      <c r="Y141" s="0" t="n">
        <v>6.8</v>
      </c>
      <c r="Z141" s="0" t="s">
        <v>185</v>
      </c>
      <c r="AA141" s="0" t="n">
        <v>1</v>
      </c>
      <c r="AB141" s="0" t="s">
        <v>187</v>
      </c>
      <c r="AC141" s="0" t="n">
        <v>63320000</v>
      </c>
      <c r="AD141" s="0" t="n">
        <v>63320000</v>
      </c>
      <c r="AE141" s="0" t="n">
        <v>63320000</v>
      </c>
      <c r="AF141" s="0" t="n">
        <v>0.9976</v>
      </c>
      <c r="AG141" s="0" t="n">
        <v>63165000</v>
      </c>
      <c r="AH141" s="0" t="n">
        <v>63165000</v>
      </c>
      <c r="AI141" s="0" t="n">
        <v>155000</v>
      </c>
      <c r="AJ141" s="0" t="n">
        <v>63320000</v>
      </c>
      <c r="AK141" s="0" t="n">
        <v>63165000</v>
      </c>
      <c r="AL141" s="0" t="n">
        <v>63165000</v>
      </c>
      <c r="AM141" s="0" t="s">
        <v>194</v>
      </c>
      <c r="AN141" s="0" t="n">
        <v>3.017</v>
      </c>
      <c r="AO141" s="0" t="n">
        <v>4.439</v>
      </c>
      <c r="AP141" s="0" t="n">
        <v>5.176</v>
      </c>
      <c r="AQ141" s="0" t="n">
        <v>100</v>
      </c>
      <c r="AR141" s="0" t="n">
        <v>100</v>
      </c>
      <c r="AS141" s="1" t="n">
        <v>43572</v>
      </c>
      <c r="AT141" s="1" t="n">
        <v>47773</v>
      </c>
      <c r="AU141" s="1" t="n">
        <v>46295</v>
      </c>
      <c r="AV141" s="0" t="s">
        <v>506</v>
      </c>
      <c r="AW141" s="0" t="s">
        <v>196</v>
      </c>
      <c r="AX141" s="0" t="s">
        <v>187</v>
      </c>
      <c r="AY141" s="0" t="s">
        <v>507</v>
      </c>
      <c r="AZ141" s="0" t="s">
        <v>508</v>
      </c>
      <c r="BA141" s="0" t="s">
        <v>323</v>
      </c>
      <c r="BB141" s="0" t="s">
        <v>196</v>
      </c>
      <c r="BC141" s="0" t="s">
        <v>509</v>
      </c>
      <c r="BI141" s="0" t="n">
        <v>63320000</v>
      </c>
      <c r="BJ141" s="0" t="n">
        <v>63320000</v>
      </c>
      <c r="BK141" s="0" t="s">
        <v>200</v>
      </c>
      <c r="BL141" s="0" t="s">
        <v>201</v>
      </c>
      <c r="BN141" s="0" t="n">
        <v>6.9</v>
      </c>
      <c r="BO141" s="0" t="n">
        <v>4.3</v>
      </c>
      <c r="BP141" s="0" t="s">
        <v>202</v>
      </c>
      <c r="BQ141" s="0" t="s">
        <v>187</v>
      </c>
      <c r="BR141" s="0" t="s">
        <v>203</v>
      </c>
      <c r="BS141" s="0" t="s">
        <v>510</v>
      </c>
      <c r="BT141" s="0" t="s">
        <v>205</v>
      </c>
      <c r="BU141" s="0" t="s">
        <v>216</v>
      </c>
      <c r="BW141" s="0" t="s">
        <v>257</v>
      </c>
      <c r="BX141" s="0" t="s">
        <v>207</v>
      </c>
      <c r="BY141" s="0" t="n">
        <v>265</v>
      </c>
      <c r="BZ141" s="0" t="n">
        <v>265</v>
      </c>
      <c r="CB141" s="0" t="s">
        <v>208</v>
      </c>
      <c r="CC141" s="0" t="s">
        <v>239</v>
      </c>
      <c r="CD141" s="0" t="s">
        <v>239</v>
      </c>
      <c r="CE141" s="0" t="s">
        <v>211</v>
      </c>
      <c r="CF141" s="0" t="s">
        <v>409</v>
      </c>
      <c r="CG141" s="0" t="s">
        <v>304</v>
      </c>
      <c r="CH141" s="1" t="n">
        <v>46112</v>
      </c>
      <c r="CI141" s="0" t="n">
        <v>1.2</v>
      </c>
      <c r="CJ141" s="0" t="n">
        <v>3.1</v>
      </c>
      <c r="CK141" s="0" t="n">
        <v>3.26</v>
      </c>
      <c r="CL141" s="0" t="s">
        <v>212</v>
      </c>
      <c r="DA141" s="0" t="n">
        <v>0.78</v>
      </c>
      <c r="DC141" s="0" t="n">
        <v>0.85</v>
      </c>
      <c r="DD141" s="0" t="s">
        <v>212</v>
      </c>
      <c r="ED141" s="0" t="s">
        <v>212</v>
      </c>
      <c r="EE141" s="0" t="n">
        <v>1.05</v>
      </c>
      <c r="EI141" s="0" t="n">
        <v>1.54</v>
      </c>
      <c r="FQ141" s="0" t="n">
        <v>76267172</v>
      </c>
    </row>
    <row r="142" customFormat="false" ht="15" hidden="false" customHeight="false" outlineLevel="0" collapsed="false">
      <c r="B142" s="0" t="str">
        <f aca="false">C142&amp;"x"&amp;I142</f>
        <v>61020x100229</v>
      </c>
      <c r="C142" s="0" t="n">
        <f aca="false">IF(G142="SINGLE",H142,G142)</f>
        <v>61020</v>
      </c>
      <c r="D142" s="0" t="e">
        <f aca="false">_xlfn.XLOOKUP(I142,calculations!$t:$t,calculations!$s:$s)</f>
        <v>#VALUE!</v>
      </c>
      <c r="E142" s="0" t="str">
        <f aca="false">_xlfn.XLOOKUP(I142,Mapping!$T:$T,Mapping!$Q:$Q)</f>
        <v>ALDE25</v>
      </c>
      <c r="F142" s="1" t="n">
        <v>46203</v>
      </c>
      <c r="G142" s="0" t="n">
        <v>61020</v>
      </c>
      <c r="H142" s="0" t="n">
        <v>61020</v>
      </c>
      <c r="I142" s="0" t="n">
        <v>100229</v>
      </c>
      <c r="J142" s="0" t="s">
        <v>511</v>
      </c>
      <c r="K142" s="0" t="s">
        <v>293</v>
      </c>
      <c r="L142" s="0" t="s">
        <v>293</v>
      </c>
      <c r="M142" s="0" t="s">
        <v>184</v>
      </c>
      <c r="N142" s="0" t="n">
        <v>42110000</v>
      </c>
      <c r="O142" s="0" t="n">
        <v>42110000</v>
      </c>
      <c r="P142" s="0" t="s">
        <v>185</v>
      </c>
      <c r="Q142" s="0" t="s">
        <v>186</v>
      </c>
      <c r="R142" s="0" t="s">
        <v>187</v>
      </c>
      <c r="S142" s="0" t="s">
        <v>512</v>
      </c>
      <c r="T142" s="0" t="s">
        <v>189</v>
      </c>
      <c r="U142" s="0" t="s">
        <v>322</v>
      </c>
      <c r="V142" s="0" t="s">
        <v>323</v>
      </c>
      <c r="W142" s="0" t="s">
        <v>192</v>
      </c>
      <c r="X142" s="0" t="s">
        <v>505</v>
      </c>
      <c r="Y142" s="0" t="n">
        <v>6.8</v>
      </c>
      <c r="Z142" s="0" t="s">
        <v>185</v>
      </c>
      <c r="AA142" s="0" t="n">
        <v>1</v>
      </c>
      <c r="AB142" s="0" t="s">
        <v>187</v>
      </c>
      <c r="AC142" s="0" t="n">
        <v>42213000</v>
      </c>
      <c r="AD142" s="0" t="n">
        <v>42213000</v>
      </c>
      <c r="AE142" s="0" t="n">
        <v>42213000</v>
      </c>
      <c r="AF142" s="0" t="n">
        <v>0.9976</v>
      </c>
      <c r="AG142" s="0" t="n">
        <v>42110000</v>
      </c>
      <c r="AH142" s="0" t="n">
        <v>42110000</v>
      </c>
      <c r="AI142" s="0" t="n">
        <v>103000</v>
      </c>
      <c r="AJ142" s="0" t="n">
        <v>42213000</v>
      </c>
      <c r="AK142" s="0" t="n">
        <v>42110000</v>
      </c>
      <c r="AL142" s="0" t="n">
        <v>42110000</v>
      </c>
      <c r="AM142" s="0" t="s">
        <v>194</v>
      </c>
      <c r="AN142" s="0" t="n">
        <v>4.339</v>
      </c>
      <c r="AO142" s="0" t="n">
        <v>6.441</v>
      </c>
      <c r="AP142" s="0" t="n">
        <v>5.979</v>
      </c>
      <c r="AQ142" s="0" t="n">
        <v>100</v>
      </c>
      <c r="AR142" s="0" t="n">
        <v>100</v>
      </c>
      <c r="AS142" s="1" t="n">
        <v>43572</v>
      </c>
      <c r="AT142" s="1" t="n">
        <v>47773</v>
      </c>
      <c r="AU142" s="1" t="n">
        <v>46295</v>
      </c>
      <c r="AV142" s="0" t="s">
        <v>506</v>
      </c>
      <c r="AW142" s="0" t="s">
        <v>196</v>
      </c>
      <c r="AX142" s="0" t="s">
        <v>187</v>
      </c>
      <c r="AY142" s="0" t="s">
        <v>507</v>
      </c>
      <c r="AZ142" s="0" t="s">
        <v>508</v>
      </c>
      <c r="BA142" s="0" t="s">
        <v>323</v>
      </c>
      <c r="BB142" s="0" t="s">
        <v>196</v>
      </c>
      <c r="BC142" s="0" t="s">
        <v>509</v>
      </c>
      <c r="BI142" s="0" t="n">
        <v>42213000</v>
      </c>
      <c r="BJ142" s="0" t="n">
        <v>42213000</v>
      </c>
      <c r="BK142" s="0" t="s">
        <v>200</v>
      </c>
      <c r="BL142" s="0" t="s">
        <v>201</v>
      </c>
      <c r="BN142" s="0" t="n">
        <v>6.9</v>
      </c>
      <c r="BO142" s="0" t="n">
        <v>4.3</v>
      </c>
      <c r="BP142" s="0" t="s">
        <v>202</v>
      </c>
      <c r="BQ142" s="0" t="s">
        <v>187</v>
      </c>
      <c r="BR142" s="0" t="s">
        <v>203</v>
      </c>
      <c r="BS142" s="0" t="s">
        <v>513</v>
      </c>
      <c r="BT142" s="0" t="s">
        <v>205</v>
      </c>
      <c r="BU142" s="0" t="s">
        <v>269</v>
      </c>
      <c r="BW142" s="0" t="s">
        <v>206</v>
      </c>
      <c r="BX142" s="0" t="s">
        <v>217</v>
      </c>
      <c r="BY142" s="0" t="n">
        <v>265</v>
      </c>
      <c r="BZ142" s="0" t="n">
        <v>265</v>
      </c>
      <c r="CB142" s="0" t="s">
        <v>208</v>
      </c>
      <c r="CC142" s="0" t="s">
        <v>239</v>
      </c>
      <c r="CD142" s="0" t="s">
        <v>239</v>
      </c>
      <c r="CE142" s="0" t="s">
        <v>211</v>
      </c>
      <c r="CF142" s="0" t="s">
        <v>409</v>
      </c>
      <c r="CG142" s="0" t="s">
        <v>304</v>
      </c>
      <c r="CH142" s="1" t="n">
        <v>46112</v>
      </c>
      <c r="CI142" s="0" t="n">
        <v>1.2</v>
      </c>
      <c r="CJ142" s="0" t="n">
        <v>2.82</v>
      </c>
      <c r="CK142" s="0" t="n">
        <v>2.96</v>
      </c>
      <c r="CL142" s="0" t="s">
        <v>212</v>
      </c>
      <c r="DA142" s="0" t="n">
        <v>0.74</v>
      </c>
      <c r="DC142" s="0" t="n">
        <v>0.85</v>
      </c>
      <c r="DD142" s="0" t="s">
        <v>212</v>
      </c>
      <c r="ED142" s="0" t="s">
        <v>212</v>
      </c>
      <c r="EE142" s="0" t="n">
        <v>1.05</v>
      </c>
      <c r="EI142" s="0" t="n">
        <v>1.32</v>
      </c>
      <c r="FQ142" s="0" t="n">
        <v>74947136</v>
      </c>
    </row>
    <row r="143" customFormat="false" ht="15" hidden="false" customHeight="false" outlineLevel="0" collapsed="false">
      <c r="B143" s="0" t="str">
        <f aca="false">C143&amp;"x"&amp;I143</f>
        <v>61006x100228</v>
      </c>
      <c r="C143" s="0" t="n">
        <f aca="false">IF(G143="SINGLE",H143,G143)</f>
        <v>61006</v>
      </c>
      <c r="D143" s="0" t="e">
        <f aca="false">_xlfn.XLOOKUP(I143,calculations!$t:$t,calculations!$s:$s)</f>
        <v>#VALUE!</v>
      </c>
      <c r="E143" s="0" t="str">
        <f aca="false">_xlfn.XLOOKUP(I143,Mapping!$T:$T,Mapping!$Q:$Q)</f>
        <v>ALDE25</v>
      </c>
      <c r="F143" s="1" t="n">
        <v>46203</v>
      </c>
      <c r="G143" s="0" t="n">
        <v>61006</v>
      </c>
      <c r="H143" s="0" t="n">
        <v>61006</v>
      </c>
      <c r="I143" s="0" t="n">
        <v>100228</v>
      </c>
      <c r="J143" s="0" t="s">
        <v>503</v>
      </c>
      <c r="K143" s="0" t="s">
        <v>480</v>
      </c>
      <c r="L143" s="0" t="s">
        <v>480</v>
      </c>
      <c r="M143" s="0" t="s">
        <v>184</v>
      </c>
      <c r="N143" s="0" t="n">
        <v>37514000</v>
      </c>
      <c r="O143" s="0" t="n">
        <v>37514000</v>
      </c>
      <c r="P143" s="0" t="s">
        <v>415</v>
      </c>
      <c r="Q143" s="0" t="s">
        <v>186</v>
      </c>
      <c r="R143" s="0" t="s">
        <v>187</v>
      </c>
      <c r="S143" s="0" t="s">
        <v>504</v>
      </c>
      <c r="T143" s="0" t="s">
        <v>189</v>
      </c>
      <c r="U143" s="0" t="s">
        <v>322</v>
      </c>
      <c r="V143" s="0" t="s">
        <v>323</v>
      </c>
      <c r="W143" s="0" t="s">
        <v>192</v>
      </c>
      <c r="X143" s="0" t="s">
        <v>505</v>
      </c>
      <c r="Y143" s="0" t="n">
        <v>6.8</v>
      </c>
      <c r="Z143" s="0" t="s">
        <v>185</v>
      </c>
      <c r="AA143" s="0" t="n">
        <v>1</v>
      </c>
      <c r="AB143" s="0" t="s">
        <v>187</v>
      </c>
      <c r="AC143" s="0" t="n">
        <v>37606000</v>
      </c>
      <c r="AD143" s="0" t="n">
        <v>37606000</v>
      </c>
      <c r="AE143" s="0" t="n">
        <v>37606000</v>
      </c>
      <c r="AF143" s="0" t="n">
        <v>0.9976</v>
      </c>
      <c r="AG143" s="0" t="n">
        <v>37514000</v>
      </c>
      <c r="AH143" s="0" t="n">
        <v>37514000</v>
      </c>
      <c r="AI143" s="0" t="n">
        <v>92000</v>
      </c>
      <c r="AJ143" s="0" t="n">
        <v>37606000</v>
      </c>
      <c r="AK143" s="0" t="n">
        <v>37514000</v>
      </c>
      <c r="AL143" s="0" t="n">
        <v>37514000</v>
      </c>
      <c r="AM143" s="0" t="s">
        <v>194</v>
      </c>
      <c r="AN143" s="0" t="n">
        <v>2.533</v>
      </c>
      <c r="AO143" s="0" t="n">
        <v>4.356</v>
      </c>
      <c r="AP143" s="0" t="n">
        <v>4.379</v>
      </c>
      <c r="AQ143" s="0" t="n">
        <v>100</v>
      </c>
      <c r="AR143" s="0" t="n">
        <v>100</v>
      </c>
      <c r="AS143" s="1" t="n">
        <v>43572</v>
      </c>
      <c r="AT143" s="1" t="n">
        <v>47773</v>
      </c>
      <c r="AU143" s="1" t="n">
        <v>46295</v>
      </c>
      <c r="AV143" s="0" t="s">
        <v>506</v>
      </c>
      <c r="AW143" s="0" t="s">
        <v>196</v>
      </c>
      <c r="AX143" s="0" t="s">
        <v>187</v>
      </c>
      <c r="AY143" s="0" t="s">
        <v>507</v>
      </c>
      <c r="AZ143" s="0" t="s">
        <v>508</v>
      </c>
      <c r="BA143" s="0" t="s">
        <v>323</v>
      </c>
      <c r="BB143" s="0" t="s">
        <v>196</v>
      </c>
      <c r="BC143" s="0" t="s">
        <v>509</v>
      </c>
      <c r="BI143" s="0" t="n">
        <v>37606000</v>
      </c>
      <c r="BJ143" s="0" t="n">
        <v>37606000</v>
      </c>
      <c r="BK143" s="0" t="s">
        <v>200</v>
      </c>
      <c r="BL143" s="0" t="s">
        <v>201</v>
      </c>
      <c r="BN143" s="0" t="n">
        <v>6.9</v>
      </c>
      <c r="BO143" s="0" t="n">
        <v>4.3</v>
      </c>
      <c r="BP143" s="0" t="s">
        <v>202</v>
      </c>
      <c r="BQ143" s="0" t="s">
        <v>187</v>
      </c>
      <c r="BR143" s="0" t="s">
        <v>203</v>
      </c>
      <c r="BS143" s="0" t="s">
        <v>510</v>
      </c>
      <c r="BT143" s="0" t="s">
        <v>205</v>
      </c>
      <c r="BU143" s="0" t="s">
        <v>216</v>
      </c>
      <c r="BW143" s="0" t="s">
        <v>206</v>
      </c>
      <c r="BX143" s="0" t="s">
        <v>207</v>
      </c>
      <c r="BY143" s="0" t="n">
        <v>265</v>
      </c>
      <c r="BZ143" s="0" t="n">
        <v>265</v>
      </c>
      <c r="CB143" s="0" t="s">
        <v>208</v>
      </c>
      <c r="CC143" s="0" t="s">
        <v>239</v>
      </c>
      <c r="CD143" s="0" t="s">
        <v>239</v>
      </c>
      <c r="CE143" s="0" t="s">
        <v>211</v>
      </c>
      <c r="CF143" s="0" t="s">
        <v>409</v>
      </c>
      <c r="CG143" s="0" t="s">
        <v>304</v>
      </c>
      <c r="CH143" s="1" t="n">
        <v>46112</v>
      </c>
      <c r="CI143" s="0" t="n">
        <v>1.2</v>
      </c>
      <c r="CJ143" s="0" t="n">
        <v>1.56</v>
      </c>
      <c r="CK143" s="0" t="n">
        <v>1.64</v>
      </c>
      <c r="CL143" s="0" t="s">
        <v>212</v>
      </c>
      <c r="DA143" s="0" t="n">
        <v>0.49</v>
      </c>
      <c r="DC143" s="0" t="n">
        <v>0.85</v>
      </c>
      <c r="DD143" s="0" t="s">
        <v>212</v>
      </c>
      <c r="ED143" s="0" t="s">
        <v>212</v>
      </c>
      <c r="EE143" s="0" t="n">
        <v>1.05</v>
      </c>
      <c r="EI143" s="0" t="n">
        <v>1.28</v>
      </c>
      <c r="FQ143" s="0" t="n">
        <v>81535066</v>
      </c>
    </row>
    <row r="144" customFormat="false" ht="15" hidden="false" customHeight="false" outlineLevel="0" collapsed="false">
      <c r="B144" s="0" t="str">
        <f aca="false">C144&amp;"x"&amp;I144</f>
        <v>61006x100229</v>
      </c>
      <c r="C144" s="0" t="n">
        <f aca="false">IF(G144="SINGLE",H144,G144)</f>
        <v>61006</v>
      </c>
      <c r="D144" s="0" t="e">
        <f aca="false">_xlfn.XLOOKUP(I144,calculations!$t:$t,calculations!$s:$s)</f>
        <v>#VALUE!</v>
      </c>
      <c r="E144" s="0" t="str">
        <f aca="false">_xlfn.XLOOKUP(I144,Mapping!$T:$T,Mapping!$Q:$Q)</f>
        <v>ALDE25</v>
      </c>
      <c r="F144" s="1" t="n">
        <v>46203</v>
      </c>
      <c r="G144" s="0" t="n">
        <v>61006</v>
      </c>
      <c r="H144" s="0" t="n">
        <v>61006</v>
      </c>
      <c r="I144" s="0" t="n">
        <v>100229</v>
      </c>
      <c r="J144" s="0" t="s">
        <v>511</v>
      </c>
      <c r="K144" s="0" t="s">
        <v>480</v>
      </c>
      <c r="L144" s="0" t="s">
        <v>480</v>
      </c>
      <c r="M144" s="0" t="s">
        <v>184</v>
      </c>
      <c r="N144" s="0" t="n">
        <v>25010000</v>
      </c>
      <c r="O144" s="0" t="n">
        <v>25010000</v>
      </c>
      <c r="P144" s="0" t="s">
        <v>415</v>
      </c>
      <c r="Q144" s="0" t="s">
        <v>186</v>
      </c>
      <c r="R144" s="0" t="s">
        <v>187</v>
      </c>
      <c r="S144" s="0" t="s">
        <v>512</v>
      </c>
      <c r="T144" s="0" t="s">
        <v>189</v>
      </c>
      <c r="U144" s="0" t="s">
        <v>322</v>
      </c>
      <c r="V144" s="0" t="s">
        <v>323</v>
      </c>
      <c r="W144" s="0" t="s">
        <v>192</v>
      </c>
      <c r="X144" s="0" t="s">
        <v>505</v>
      </c>
      <c r="Y144" s="0" t="n">
        <v>6.8</v>
      </c>
      <c r="Z144" s="0" t="s">
        <v>185</v>
      </c>
      <c r="AA144" s="0" t="n">
        <v>1</v>
      </c>
      <c r="AB144" s="0" t="s">
        <v>187</v>
      </c>
      <c r="AC144" s="0" t="n">
        <v>25071000</v>
      </c>
      <c r="AD144" s="0" t="n">
        <v>25071000</v>
      </c>
      <c r="AE144" s="0" t="n">
        <v>25071000</v>
      </c>
      <c r="AF144" s="0" t="n">
        <v>0.9976</v>
      </c>
      <c r="AG144" s="0" t="n">
        <v>25010000</v>
      </c>
      <c r="AH144" s="0" t="n">
        <v>25010000</v>
      </c>
      <c r="AI144" s="0" t="n">
        <v>61000</v>
      </c>
      <c r="AJ144" s="0" t="n">
        <v>25071000</v>
      </c>
      <c r="AK144" s="0" t="n">
        <v>25010000</v>
      </c>
      <c r="AL144" s="0" t="n">
        <v>25010000</v>
      </c>
      <c r="AM144" s="0" t="s">
        <v>194</v>
      </c>
      <c r="AN144" s="0" t="n">
        <v>5.225</v>
      </c>
      <c r="AO144" s="0" t="n">
        <v>2.681</v>
      </c>
      <c r="AP144" s="0" t="n">
        <v>3.142</v>
      </c>
      <c r="AQ144" s="0" t="n">
        <v>100</v>
      </c>
      <c r="AR144" s="0" t="n">
        <v>100</v>
      </c>
      <c r="AS144" s="1" t="n">
        <v>43572</v>
      </c>
      <c r="AT144" s="1" t="n">
        <v>47773</v>
      </c>
      <c r="AU144" s="1" t="n">
        <v>46295</v>
      </c>
      <c r="AV144" s="0" t="s">
        <v>506</v>
      </c>
      <c r="AW144" s="0" t="s">
        <v>196</v>
      </c>
      <c r="AX144" s="0" t="s">
        <v>187</v>
      </c>
      <c r="AY144" s="0" t="s">
        <v>507</v>
      </c>
      <c r="AZ144" s="0" t="s">
        <v>508</v>
      </c>
      <c r="BA144" s="0" t="s">
        <v>323</v>
      </c>
      <c r="BB144" s="0" t="s">
        <v>196</v>
      </c>
      <c r="BC144" s="0" t="s">
        <v>509</v>
      </c>
      <c r="BI144" s="0" t="n">
        <v>25071000</v>
      </c>
      <c r="BJ144" s="0" t="n">
        <v>25071000</v>
      </c>
      <c r="BK144" s="0" t="s">
        <v>200</v>
      </c>
      <c r="BL144" s="0" t="s">
        <v>201</v>
      </c>
      <c r="BN144" s="0" t="n">
        <v>6.9</v>
      </c>
      <c r="BO144" s="0" t="n">
        <v>4.3</v>
      </c>
      <c r="BP144" s="0" t="s">
        <v>202</v>
      </c>
      <c r="BQ144" s="0" t="s">
        <v>187</v>
      </c>
      <c r="BR144" s="0" t="s">
        <v>203</v>
      </c>
      <c r="BS144" s="0" t="s">
        <v>513</v>
      </c>
      <c r="BT144" s="0" t="s">
        <v>205</v>
      </c>
      <c r="BU144" s="0" t="s">
        <v>205</v>
      </c>
      <c r="BW144" s="0" t="s">
        <v>206</v>
      </c>
      <c r="BX144" s="0" t="s">
        <v>217</v>
      </c>
      <c r="BY144" s="0" t="n">
        <v>265</v>
      </c>
      <c r="BZ144" s="0" t="n">
        <v>265</v>
      </c>
      <c r="CB144" s="0" t="s">
        <v>208</v>
      </c>
      <c r="CC144" s="0" t="s">
        <v>239</v>
      </c>
      <c r="CD144" s="0" t="s">
        <v>239</v>
      </c>
      <c r="CE144" s="0" t="s">
        <v>211</v>
      </c>
      <c r="CF144" s="0" t="s">
        <v>409</v>
      </c>
      <c r="CG144" s="0" t="s">
        <v>304</v>
      </c>
      <c r="CH144" s="1" t="n">
        <v>46112</v>
      </c>
      <c r="CI144" s="0" t="n">
        <v>1.2</v>
      </c>
      <c r="CJ144" s="0" t="n">
        <v>2.98</v>
      </c>
      <c r="CK144" s="0" t="n">
        <v>3.13</v>
      </c>
      <c r="CL144" s="0" t="s">
        <v>212</v>
      </c>
      <c r="DA144" s="0" t="n">
        <v>0.6</v>
      </c>
      <c r="DC144" s="0" t="n">
        <v>0.85</v>
      </c>
      <c r="DD144" s="0" t="s">
        <v>212</v>
      </c>
      <c r="ED144" s="0" t="s">
        <v>213</v>
      </c>
      <c r="EE144" s="0" t="n">
        <v>1.05</v>
      </c>
      <c r="EI144" s="0" t="n">
        <v>1.11</v>
      </c>
      <c r="FQ144" s="0" t="n">
        <v>88347346</v>
      </c>
    </row>
    <row r="145" customFormat="false" ht="15" hidden="false" customHeight="false" outlineLevel="0" collapsed="false">
      <c r="B145" s="0" t="str">
        <f aca="false">C145&amp;"x"&amp;I145</f>
        <v>61015x100228</v>
      </c>
      <c r="C145" s="0" t="n">
        <f aca="false">IF(G145="SINGLE",H145,G145)</f>
        <v>61015</v>
      </c>
      <c r="D145" s="0" t="e">
        <f aca="false">_xlfn.XLOOKUP(I145,calculations!$t:$t,calculations!$s:$s)</f>
        <v>#VALUE!</v>
      </c>
      <c r="E145" s="0" t="str">
        <f aca="false">_xlfn.XLOOKUP(I145,Mapping!$T:$T,Mapping!$Q:$Q)</f>
        <v>ALDE25</v>
      </c>
      <c r="F145" s="1" t="n">
        <v>46203</v>
      </c>
      <c r="G145" s="0" t="n">
        <v>61015</v>
      </c>
      <c r="H145" s="0" t="n">
        <v>61015</v>
      </c>
      <c r="I145" s="0" t="n">
        <v>100228</v>
      </c>
      <c r="J145" s="0" t="s">
        <v>503</v>
      </c>
      <c r="K145" s="0" t="s">
        <v>215</v>
      </c>
      <c r="L145" s="0" t="s">
        <v>215</v>
      </c>
      <c r="M145" s="0" t="s">
        <v>184</v>
      </c>
      <c r="N145" s="0" t="n">
        <v>23829000</v>
      </c>
      <c r="O145" s="0" t="n">
        <v>23829000</v>
      </c>
      <c r="P145" s="0" t="s">
        <v>185</v>
      </c>
      <c r="Q145" s="0" t="s">
        <v>186</v>
      </c>
      <c r="R145" s="0" t="s">
        <v>187</v>
      </c>
      <c r="S145" s="0" t="s">
        <v>504</v>
      </c>
      <c r="T145" s="0" t="s">
        <v>189</v>
      </c>
      <c r="U145" s="0" t="s">
        <v>322</v>
      </c>
      <c r="V145" s="0" t="s">
        <v>323</v>
      </c>
      <c r="W145" s="0" t="s">
        <v>192</v>
      </c>
      <c r="X145" s="0" t="s">
        <v>505</v>
      </c>
      <c r="Y145" s="0" t="n">
        <v>6.8</v>
      </c>
      <c r="Z145" s="0" t="s">
        <v>185</v>
      </c>
      <c r="AA145" s="0" t="n">
        <v>1</v>
      </c>
      <c r="AB145" s="0" t="s">
        <v>187</v>
      </c>
      <c r="AC145" s="0" t="n">
        <v>23887000</v>
      </c>
      <c r="AD145" s="0" t="n">
        <v>23887000</v>
      </c>
      <c r="AE145" s="0" t="n">
        <v>23887000</v>
      </c>
      <c r="AF145" s="0" t="n">
        <v>0.9976</v>
      </c>
      <c r="AG145" s="0" t="n">
        <v>23829000</v>
      </c>
      <c r="AH145" s="0" t="n">
        <v>23829000</v>
      </c>
      <c r="AI145" s="0" t="n">
        <v>58000</v>
      </c>
      <c r="AJ145" s="0" t="n">
        <v>23887000</v>
      </c>
      <c r="AK145" s="0" t="n">
        <v>23829000</v>
      </c>
      <c r="AL145" s="0" t="n">
        <v>23829000</v>
      </c>
      <c r="AM145" s="0" t="s">
        <v>194</v>
      </c>
      <c r="AN145" s="0" t="n">
        <v>5.256</v>
      </c>
      <c r="AO145" s="0" t="n">
        <v>3.532</v>
      </c>
      <c r="AP145" s="0" t="n">
        <v>5.775</v>
      </c>
      <c r="AQ145" s="0" t="n">
        <v>100</v>
      </c>
      <c r="AR145" s="0" t="n">
        <v>100</v>
      </c>
      <c r="AS145" s="1" t="n">
        <v>43572</v>
      </c>
      <c r="AT145" s="1" t="n">
        <v>47773</v>
      </c>
      <c r="AU145" s="1" t="n">
        <v>46295</v>
      </c>
      <c r="AV145" s="0" t="s">
        <v>506</v>
      </c>
      <c r="AW145" s="0" t="s">
        <v>196</v>
      </c>
      <c r="AX145" s="0" t="s">
        <v>187</v>
      </c>
      <c r="AY145" s="0" t="s">
        <v>507</v>
      </c>
      <c r="AZ145" s="0" t="s">
        <v>508</v>
      </c>
      <c r="BA145" s="0" t="s">
        <v>323</v>
      </c>
      <c r="BB145" s="0" t="s">
        <v>196</v>
      </c>
      <c r="BC145" s="0" t="s">
        <v>509</v>
      </c>
      <c r="BI145" s="0" t="n">
        <v>23887000</v>
      </c>
      <c r="BJ145" s="0" t="n">
        <v>23887000</v>
      </c>
      <c r="BK145" s="0" t="s">
        <v>200</v>
      </c>
      <c r="BL145" s="0" t="s">
        <v>201</v>
      </c>
      <c r="BN145" s="0" t="n">
        <v>6.9</v>
      </c>
      <c r="BO145" s="0" t="n">
        <v>4.3</v>
      </c>
      <c r="BP145" s="0" t="s">
        <v>202</v>
      </c>
      <c r="BQ145" s="0" t="s">
        <v>187</v>
      </c>
      <c r="BR145" s="0" t="s">
        <v>203</v>
      </c>
      <c r="BS145" s="0" t="s">
        <v>510</v>
      </c>
      <c r="BT145" s="0" t="s">
        <v>205</v>
      </c>
      <c r="BU145" s="0" t="s">
        <v>224</v>
      </c>
      <c r="BW145" s="0" t="s">
        <v>206</v>
      </c>
      <c r="BX145" s="0" t="s">
        <v>217</v>
      </c>
      <c r="BY145" s="0" t="n">
        <v>265</v>
      </c>
      <c r="BZ145" s="0" t="n">
        <v>265</v>
      </c>
      <c r="CB145" s="0" t="s">
        <v>208</v>
      </c>
      <c r="CC145" s="0" t="s">
        <v>239</v>
      </c>
      <c r="CD145" s="0" t="s">
        <v>239</v>
      </c>
      <c r="CE145" s="0" t="s">
        <v>211</v>
      </c>
      <c r="CF145" s="0" t="s">
        <v>409</v>
      </c>
      <c r="CG145" s="0" t="s">
        <v>304</v>
      </c>
      <c r="CH145" s="1" t="n">
        <v>46112</v>
      </c>
      <c r="CI145" s="0" t="n">
        <v>1.2</v>
      </c>
      <c r="CJ145" s="0" t="n">
        <v>3.27</v>
      </c>
      <c r="CK145" s="0" t="n">
        <v>3.43</v>
      </c>
      <c r="CL145" s="0" t="s">
        <v>212</v>
      </c>
      <c r="DA145" s="0" t="n">
        <v>0.68</v>
      </c>
      <c r="DC145" s="0" t="n">
        <v>0.85</v>
      </c>
      <c r="DD145" s="0" t="s">
        <v>212</v>
      </c>
      <c r="ED145" s="0" t="s">
        <v>212</v>
      </c>
      <c r="EE145" s="0" t="n">
        <v>1.05</v>
      </c>
      <c r="EI145" s="0" t="n">
        <v>1.78</v>
      </c>
      <c r="FQ145" s="0" t="n">
        <v>61868722</v>
      </c>
    </row>
    <row r="146" customFormat="false" ht="15" hidden="false" customHeight="false" outlineLevel="0" collapsed="false">
      <c r="B146" s="0" t="str">
        <f aca="false">C146&amp;"x"&amp;I146</f>
        <v>61015x100229</v>
      </c>
      <c r="C146" s="0" t="n">
        <f aca="false">IF(G146="SINGLE",H146,G146)</f>
        <v>61015</v>
      </c>
      <c r="D146" s="0" t="e">
        <f aca="false">_xlfn.XLOOKUP(I146,calculations!$t:$t,calculations!$s:$s)</f>
        <v>#VALUE!</v>
      </c>
      <c r="E146" s="0" t="str">
        <f aca="false">_xlfn.XLOOKUP(I146,Mapping!$T:$T,Mapping!$Q:$Q)</f>
        <v>ALDE25</v>
      </c>
      <c r="F146" s="1" t="n">
        <v>46203</v>
      </c>
      <c r="G146" s="0" t="n">
        <v>61015</v>
      </c>
      <c r="H146" s="0" t="n">
        <v>61015</v>
      </c>
      <c r="I146" s="0" t="n">
        <v>100229</v>
      </c>
      <c r="J146" s="0" t="s">
        <v>511</v>
      </c>
      <c r="K146" s="0" t="s">
        <v>215</v>
      </c>
      <c r="L146" s="0" t="s">
        <v>215</v>
      </c>
      <c r="M146" s="0" t="s">
        <v>184</v>
      </c>
      <c r="N146" s="0" t="n">
        <v>15885000</v>
      </c>
      <c r="O146" s="0" t="n">
        <v>15885000</v>
      </c>
      <c r="P146" s="0" t="s">
        <v>185</v>
      </c>
      <c r="Q146" s="0" t="s">
        <v>186</v>
      </c>
      <c r="R146" s="0" t="s">
        <v>187</v>
      </c>
      <c r="S146" s="0" t="s">
        <v>512</v>
      </c>
      <c r="T146" s="0" t="s">
        <v>189</v>
      </c>
      <c r="U146" s="0" t="s">
        <v>322</v>
      </c>
      <c r="V146" s="0" t="s">
        <v>323</v>
      </c>
      <c r="W146" s="0" t="s">
        <v>192</v>
      </c>
      <c r="X146" s="0" t="s">
        <v>505</v>
      </c>
      <c r="Y146" s="0" t="n">
        <v>6.8</v>
      </c>
      <c r="Z146" s="0" t="s">
        <v>185</v>
      </c>
      <c r="AA146" s="0" t="n">
        <v>1</v>
      </c>
      <c r="AB146" s="0" t="s">
        <v>187</v>
      </c>
      <c r="AC146" s="0" t="n">
        <v>15924000</v>
      </c>
      <c r="AD146" s="0" t="n">
        <v>15924000</v>
      </c>
      <c r="AE146" s="0" t="n">
        <v>15924000</v>
      </c>
      <c r="AF146" s="0" t="n">
        <v>0.9976</v>
      </c>
      <c r="AG146" s="0" t="n">
        <v>15885000</v>
      </c>
      <c r="AH146" s="0" t="n">
        <v>15885000</v>
      </c>
      <c r="AI146" s="0" t="n">
        <v>39000</v>
      </c>
      <c r="AJ146" s="0" t="n">
        <v>15924000</v>
      </c>
      <c r="AK146" s="0" t="n">
        <v>15885000</v>
      </c>
      <c r="AL146" s="0" t="n">
        <v>15885000</v>
      </c>
      <c r="AM146" s="0" t="s">
        <v>194</v>
      </c>
      <c r="AN146" s="0" t="n">
        <v>3.039</v>
      </c>
      <c r="AO146" s="0" t="n">
        <v>5.801</v>
      </c>
      <c r="AP146" s="0" t="n">
        <v>3.926</v>
      </c>
      <c r="AQ146" s="0" t="n">
        <v>100</v>
      </c>
      <c r="AR146" s="0" t="n">
        <v>100</v>
      </c>
      <c r="AS146" s="1" t="n">
        <v>43572</v>
      </c>
      <c r="AT146" s="1" t="n">
        <v>47773</v>
      </c>
      <c r="AU146" s="1" t="n">
        <v>46295</v>
      </c>
      <c r="AV146" s="0" t="s">
        <v>506</v>
      </c>
      <c r="AW146" s="0" t="s">
        <v>196</v>
      </c>
      <c r="AX146" s="0" t="s">
        <v>187</v>
      </c>
      <c r="AY146" s="0" t="s">
        <v>507</v>
      </c>
      <c r="AZ146" s="0" t="s">
        <v>508</v>
      </c>
      <c r="BA146" s="0" t="s">
        <v>323</v>
      </c>
      <c r="BB146" s="0" t="s">
        <v>196</v>
      </c>
      <c r="BC146" s="0" t="s">
        <v>509</v>
      </c>
      <c r="BI146" s="0" t="n">
        <v>15924000</v>
      </c>
      <c r="BJ146" s="0" t="n">
        <v>15924000</v>
      </c>
      <c r="BK146" s="0" t="s">
        <v>200</v>
      </c>
      <c r="BL146" s="0" t="s">
        <v>201</v>
      </c>
      <c r="BN146" s="0" t="n">
        <v>6.9</v>
      </c>
      <c r="BO146" s="0" t="n">
        <v>4.3</v>
      </c>
      <c r="BP146" s="0" t="s">
        <v>202</v>
      </c>
      <c r="BQ146" s="0" t="s">
        <v>187</v>
      </c>
      <c r="BR146" s="0" t="s">
        <v>203</v>
      </c>
      <c r="BS146" s="0" t="s">
        <v>513</v>
      </c>
      <c r="BT146" s="0" t="s">
        <v>205</v>
      </c>
      <c r="BU146" s="0" t="s">
        <v>205</v>
      </c>
      <c r="BW146" s="0" t="s">
        <v>257</v>
      </c>
      <c r="BX146" s="0" t="s">
        <v>217</v>
      </c>
      <c r="BY146" s="0" t="n">
        <v>265</v>
      </c>
      <c r="BZ146" s="0" t="n">
        <v>265</v>
      </c>
      <c r="CB146" s="0" t="s">
        <v>208</v>
      </c>
      <c r="CC146" s="0" t="s">
        <v>239</v>
      </c>
      <c r="CD146" s="0" t="s">
        <v>239</v>
      </c>
      <c r="CE146" s="0" t="s">
        <v>211</v>
      </c>
      <c r="CF146" s="0" t="s">
        <v>409</v>
      </c>
      <c r="CG146" s="0" t="s">
        <v>304</v>
      </c>
      <c r="CH146" s="1" t="n">
        <v>46112</v>
      </c>
      <c r="CI146" s="0" t="n">
        <v>1.2</v>
      </c>
      <c r="CJ146" s="0" t="n">
        <v>2.13</v>
      </c>
      <c r="CK146" s="0" t="n">
        <v>2.24</v>
      </c>
      <c r="CL146" s="0" t="s">
        <v>212</v>
      </c>
      <c r="DA146" s="0" t="n">
        <v>0.74</v>
      </c>
      <c r="DC146" s="0" t="n">
        <v>0.85</v>
      </c>
      <c r="DD146" s="0" t="s">
        <v>212</v>
      </c>
      <c r="ED146" s="0" t="s">
        <v>212</v>
      </c>
      <c r="EE146" s="0" t="n">
        <v>1.05</v>
      </c>
      <c r="EI146" s="0" t="n">
        <v>1.65</v>
      </c>
      <c r="FQ146" s="0" t="n">
        <v>78738279</v>
      </c>
    </row>
    <row r="147" customFormat="false" ht="15" hidden="false" customHeight="false" outlineLevel="0" collapsed="false">
      <c r="B147" s="0" t="str">
        <f aca="false">C147&amp;"x"&amp;I147</f>
        <v>61017x100228</v>
      </c>
      <c r="C147" s="0" t="n">
        <f aca="false">IF(G147="SINGLE",H147,G147)</f>
        <v>61017</v>
      </c>
      <c r="D147" s="0" t="e">
        <f aca="false">_xlfn.XLOOKUP(I147,calculations!$t:$t,calculations!$s:$s)</f>
        <v>#VALUE!</v>
      </c>
      <c r="E147" s="0" t="str">
        <f aca="false">_xlfn.XLOOKUP(I147,Mapping!$T:$T,Mapping!$Q:$Q)</f>
        <v>ALDE25</v>
      </c>
      <c r="F147" s="1" t="n">
        <v>46203</v>
      </c>
      <c r="G147" s="0" t="n">
        <v>61017</v>
      </c>
      <c r="H147" s="0" t="n">
        <v>61017</v>
      </c>
      <c r="I147" s="0" t="n">
        <v>100228</v>
      </c>
      <c r="J147" s="0" t="s">
        <v>503</v>
      </c>
      <c r="K147" s="0" t="s">
        <v>274</v>
      </c>
      <c r="L147" s="0" t="s">
        <v>274</v>
      </c>
      <c r="M147" s="0" t="s">
        <v>184</v>
      </c>
      <c r="N147" s="0" t="n">
        <v>18974000</v>
      </c>
      <c r="O147" s="0" t="n">
        <v>18974000</v>
      </c>
      <c r="P147" s="0" t="s">
        <v>185</v>
      </c>
      <c r="Q147" s="0" t="s">
        <v>186</v>
      </c>
      <c r="R147" s="0" t="s">
        <v>187</v>
      </c>
      <c r="S147" s="0" t="s">
        <v>504</v>
      </c>
      <c r="T147" s="0" t="s">
        <v>189</v>
      </c>
      <c r="U147" s="0" t="s">
        <v>322</v>
      </c>
      <c r="V147" s="0" t="s">
        <v>323</v>
      </c>
      <c r="W147" s="0" t="s">
        <v>192</v>
      </c>
      <c r="X147" s="0" t="s">
        <v>505</v>
      </c>
      <c r="Y147" s="0" t="n">
        <v>6.8</v>
      </c>
      <c r="Z147" s="0" t="s">
        <v>185</v>
      </c>
      <c r="AA147" s="0" t="n">
        <v>1</v>
      </c>
      <c r="AB147" s="0" t="s">
        <v>187</v>
      </c>
      <c r="AC147" s="0" t="n">
        <v>19021000</v>
      </c>
      <c r="AD147" s="0" t="n">
        <v>19021000</v>
      </c>
      <c r="AE147" s="0" t="n">
        <v>19021000</v>
      </c>
      <c r="AF147" s="0" t="n">
        <v>0.9975</v>
      </c>
      <c r="AG147" s="0" t="n">
        <v>18974000</v>
      </c>
      <c r="AH147" s="0" t="n">
        <v>18974000</v>
      </c>
      <c r="AI147" s="0" t="n">
        <v>47000</v>
      </c>
      <c r="AJ147" s="0" t="n">
        <v>19021000</v>
      </c>
      <c r="AK147" s="0" t="n">
        <v>18974000</v>
      </c>
      <c r="AL147" s="0" t="n">
        <v>18974000</v>
      </c>
      <c r="AM147" s="0" t="s">
        <v>194</v>
      </c>
      <c r="AN147" s="0" t="n">
        <v>4.044</v>
      </c>
      <c r="AO147" s="0" t="n">
        <v>6.333</v>
      </c>
      <c r="AP147" s="0" t="n">
        <v>6.473</v>
      </c>
      <c r="AQ147" s="0" t="n">
        <v>100</v>
      </c>
      <c r="AR147" s="0" t="n">
        <v>100</v>
      </c>
      <c r="AS147" s="1" t="n">
        <v>43572</v>
      </c>
      <c r="AT147" s="1" t="n">
        <v>47773</v>
      </c>
      <c r="AU147" s="1" t="n">
        <v>46295</v>
      </c>
      <c r="AV147" s="0" t="s">
        <v>506</v>
      </c>
      <c r="AW147" s="0" t="s">
        <v>196</v>
      </c>
      <c r="AX147" s="0" t="s">
        <v>187</v>
      </c>
      <c r="AY147" s="0" t="s">
        <v>507</v>
      </c>
      <c r="AZ147" s="0" t="s">
        <v>508</v>
      </c>
      <c r="BA147" s="0" t="s">
        <v>323</v>
      </c>
      <c r="BB147" s="0" t="s">
        <v>196</v>
      </c>
      <c r="BC147" s="0" t="s">
        <v>509</v>
      </c>
      <c r="BI147" s="0" t="n">
        <v>19021000</v>
      </c>
      <c r="BJ147" s="0" t="n">
        <v>19021000</v>
      </c>
      <c r="BK147" s="0" t="s">
        <v>200</v>
      </c>
      <c r="BL147" s="0" t="s">
        <v>201</v>
      </c>
      <c r="BN147" s="0" t="n">
        <v>6.9</v>
      </c>
      <c r="BO147" s="0" t="n">
        <v>4.3</v>
      </c>
      <c r="BP147" s="0" t="s">
        <v>202</v>
      </c>
      <c r="BQ147" s="0" t="s">
        <v>187</v>
      </c>
      <c r="BR147" s="0" t="s">
        <v>203</v>
      </c>
      <c r="BS147" s="0" t="s">
        <v>510</v>
      </c>
      <c r="BT147" s="0" t="s">
        <v>205</v>
      </c>
      <c r="BU147" s="0" t="s">
        <v>205</v>
      </c>
      <c r="BW147" s="0" t="s">
        <v>257</v>
      </c>
      <c r="BX147" s="0" t="s">
        <v>217</v>
      </c>
      <c r="BY147" s="0" t="n">
        <v>265</v>
      </c>
      <c r="BZ147" s="0" t="n">
        <v>265</v>
      </c>
      <c r="CB147" s="0" t="s">
        <v>208</v>
      </c>
      <c r="CC147" s="0" t="s">
        <v>239</v>
      </c>
      <c r="CD147" s="0" t="s">
        <v>239</v>
      </c>
      <c r="CE147" s="0" t="s">
        <v>211</v>
      </c>
      <c r="CF147" s="0" t="s">
        <v>409</v>
      </c>
      <c r="CG147" s="0" t="s">
        <v>304</v>
      </c>
      <c r="CH147" s="1" t="n">
        <v>46112</v>
      </c>
      <c r="CI147" s="0" t="n">
        <v>1.2</v>
      </c>
      <c r="CJ147" s="0" t="n">
        <v>1.49</v>
      </c>
      <c r="CK147" s="0" t="n">
        <v>1.56</v>
      </c>
      <c r="CL147" s="0" t="s">
        <v>212</v>
      </c>
      <c r="DA147" s="0" t="n">
        <v>0.67</v>
      </c>
      <c r="DC147" s="0" t="n">
        <v>0.85</v>
      </c>
      <c r="DD147" s="0" t="s">
        <v>212</v>
      </c>
      <c r="ED147" s="0" t="s">
        <v>212</v>
      </c>
      <c r="EE147" s="0" t="n">
        <v>1.05</v>
      </c>
      <c r="EI147" s="0" t="n">
        <v>1.23</v>
      </c>
      <c r="FQ147" s="0" t="n">
        <v>82159806</v>
      </c>
    </row>
    <row r="148" customFormat="false" ht="15" hidden="false" customHeight="false" outlineLevel="0" collapsed="false">
      <c r="B148" s="0" t="str">
        <f aca="false">C148&amp;"x"&amp;I148</f>
        <v>61017x100229</v>
      </c>
      <c r="C148" s="0" t="n">
        <f aca="false">IF(G148="SINGLE",H148,G148)</f>
        <v>61017</v>
      </c>
      <c r="D148" s="0" t="e">
        <f aca="false">_xlfn.XLOOKUP(I148,calculations!$t:$t,calculations!$s:$s)</f>
        <v>#VALUE!</v>
      </c>
      <c r="E148" s="0" t="str">
        <f aca="false">_xlfn.XLOOKUP(I148,Mapping!$T:$T,Mapping!$Q:$Q)</f>
        <v>ALDE25</v>
      </c>
      <c r="F148" s="1" t="n">
        <v>46203</v>
      </c>
      <c r="G148" s="0" t="n">
        <v>61017</v>
      </c>
      <c r="H148" s="0" t="n">
        <v>61017</v>
      </c>
      <c r="I148" s="0" t="n">
        <v>100229</v>
      </c>
      <c r="J148" s="0" t="s">
        <v>511</v>
      </c>
      <c r="K148" s="0" t="s">
        <v>274</v>
      </c>
      <c r="L148" s="0" t="s">
        <v>274</v>
      </c>
      <c r="M148" s="0" t="s">
        <v>184</v>
      </c>
      <c r="N148" s="0" t="n">
        <v>12650000</v>
      </c>
      <c r="O148" s="0" t="n">
        <v>12650000</v>
      </c>
      <c r="P148" s="0" t="s">
        <v>185</v>
      </c>
      <c r="Q148" s="0" t="s">
        <v>186</v>
      </c>
      <c r="R148" s="0" t="s">
        <v>187</v>
      </c>
      <c r="S148" s="0" t="s">
        <v>512</v>
      </c>
      <c r="T148" s="0" t="s">
        <v>189</v>
      </c>
      <c r="U148" s="0" t="s">
        <v>322</v>
      </c>
      <c r="V148" s="0" t="s">
        <v>323</v>
      </c>
      <c r="W148" s="0" t="s">
        <v>192</v>
      </c>
      <c r="X148" s="0" t="s">
        <v>505</v>
      </c>
      <c r="Y148" s="0" t="n">
        <v>6.8</v>
      </c>
      <c r="Z148" s="0" t="s">
        <v>185</v>
      </c>
      <c r="AA148" s="0" t="n">
        <v>1</v>
      </c>
      <c r="AB148" s="0" t="s">
        <v>187</v>
      </c>
      <c r="AC148" s="0" t="n">
        <v>12681000</v>
      </c>
      <c r="AD148" s="0" t="n">
        <v>12681000</v>
      </c>
      <c r="AE148" s="0" t="n">
        <v>12681000</v>
      </c>
      <c r="AF148" s="0" t="n">
        <v>0.9976</v>
      </c>
      <c r="AG148" s="0" t="n">
        <v>12650000</v>
      </c>
      <c r="AH148" s="0" t="n">
        <v>12650000</v>
      </c>
      <c r="AI148" s="0" t="n">
        <v>31000</v>
      </c>
      <c r="AJ148" s="0" t="n">
        <v>12681000</v>
      </c>
      <c r="AK148" s="0" t="n">
        <v>12650000</v>
      </c>
      <c r="AL148" s="0" t="n">
        <v>12650000</v>
      </c>
      <c r="AM148" s="0" t="s">
        <v>194</v>
      </c>
      <c r="AN148" s="0" t="n">
        <v>5.5</v>
      </c>
      <c r="AO148" s="0" t="n">
        <v>3.85</v>
      </c>
      <c r="AP148" s="0" t="n">
        <v>4.333</v>
      </c>
      <c r="AQ148" s="0" t="n">
        <v>100</v>
      </c>
      <c r="AR148" s="0" t="n">
        <v>100</v>
      </c>
      <c r="AS148" s="1" t="n">
        <v>43572</v>
      </c>
      <c r="AT148" s="1" t="n">
        <v>47773</v>
      </c>
      <c r="AU148" s="1" t="n">
        <v>46295</v>
      </c>
      <c r="AV148" s="0" t="s">
        <v>506</v>
      </c>
      <c r="AW148" s="0" t="s">
        <v>196</v>
      </c>
      <c r="AX148" s="0" t="s">
        <v>187</v>
      </c>
      <c r="AY148" s="0" t="s">
        <v>507</v>
      </c>
      <c r="AZ148" s="0" t="s">
        <v>508</v>
      </c>
      <c r="BA148" s="0" t="s">
        <v>323</v>
      </c>
      <c r="BB148" s="0" t="s">
        <v>196</v>
      </c>
      <c r="BC148" s="0" t="s">
        <v>509</v>
      </c>
      <c r="BI148" s="0" t="n">
        <v>12681000</v>
      </c>
      <c r="BJ148" s="0" t="n">
        <v>12681000</v>
      </c>
      <c r="BK148" s="0" t="s">
        <v>200</v>
      </c>
      <c r="BL148" s="0" t="s">
        <v>201</v>
      </c>
      <c r="BN148" s="0" t="n">
        <v>6.9</v>
      </c>
      <c r="BO148" s="0" t="n">
        <v>4.3</v>
      </c>
      <c r="BP148" s="0" t="s">
        <v>202</v>
      </c>
      <c r="BQ148" s="0" t="s">
        <v>187</v>
      </c>
      <c r="BR148" s="0" t="s">
        <v>203</v>
      </c>
      <c r="BS148" s="0" t="s">
        <v>513</v>
      </c>
      <c r="BT148" s="0" t="s">
        <v>205</v>
      </c>
      <c r="BU148" s="0" t="s">
        <v>220</v>
      </c>
      <c r="BW148" s="0" t="s">
        <v>206</v>
      </c>
      <c r="BX148" s="0" t="s">
        <v>217</v>
      </c>
      <c r="BY148" s="0" t="n">
        <v>265</v>
      </c>
      <c r="BZ148" s="0" t="n">
        <v>265</v>
      </c>
      <c r="CB148" s="0" t="s">
        <v>208</v>
      </c>
      <c r="CC148" s="0" t="s">
        <v>239</v>
      </c>
      <c r="CD148" s="0" t="s">
        <v>239</v>
      </c>
      <c r="CE148" s="0" t="s">
        <v>211</v>
      </c>
      <c r="CF148" s="0" t="s">
        <v>409</v>
      </c>
      <c r="CG148" s="0" t="s">
        <v>304</v>
      </c>
      <c r="CH148" s="1" t="n">
        <v>46112</v>
      </c>
      <c r="CI148" s="0" t="n">
        <v>1.2</v>
      </c>
      <c r="CJ148" s="0" t="n">
        <v>3.39</v>
      </c>
      <c r="CK148" s="0" t="n">
        <v>3.56</v>
      </c>
      <c r="CL148" s="0" t="s">
        <v>212</v>
      </c>
      <c r="DA148" s="0" t="n">
        <v>0.77</v>
      </c>
      <c r="DC148" s="0" t="n">
        <v>0.85</v>
      </c>
      <c r="DD148" s="0" t="s">
        <v>212</v>
      </c>
      <c r="ED148" s="0" t="s">
        <v>213</v>
      </c>
      <c r="EE148" s="0" t="n">
        <v>1.05</v>
      </c>
      <c r="EI148" s="0" t="n">
        <v>1.14</v>
      </c>
      <c r="FQ148" s="0" t="n">
        <v>63186427</v>
      </c>
    </row>
    <row r="149" customFormat="false" ht="15" hidden="false" customHeight="false" outlineLevel="0" collapsed="false">
      <c r="B149" s="0" t="str">
        <f aca="false">C149&amp;"x"&amp;I149</f>
        <v>61016x100230</v>
      </c>
      <c r="C149" s="0" t="n">
        <f aca="false">IF(G149="SINGLE",H149,G149)</f>
        <v>61016</v>
      </c>
      <c r="D149" s="0" t="e">
        <f aca="false">_xlfn.XLOOKUP(I149,calculations!$t:$t,calculations!$s:$s)</f>
        <v>#VALUE!</v>
      </c>
      <c r="E149" s="0" t="str">
        <f aca="false">_xlfn.XLOOKUP(I149,Mapping!$T:$T,Mapping!$Q:$Q)</f>
        <v>BIRC26</v>
      </c>
      <c r="F149" s="1" t="n">
        <v>46203</v>
      </c>
      <c r="G149" s="0" t="n">
        <v>61016</v>
      </c>
      <c r="H149" s="0" t="n">
        <v>61016</v>
      </c>
      <c r="I149" s="0" t="n">
        <v>100230</v>
      </c>
      <c r="J149" s="0" t="s">
        <v>514</v>
      </c>
      <c r="K149" s="0" t="s">
        <v>343</v>
      </c>
      <c r="L149" s="0" t="s">
        <v>343</v>
      </c>
      <c r="M149" s="0" t="s">
        <v>184</v>
      </c>
      <c r="N149" s="0" t="n">
        <v>44506000</v>
      </c>
      <c r="O149" s="0" t="n">
        <v>41209259.26</v>
      </c>
      <c r="P149" s="0" t="s">
        <v>185</v>
      </c>
      <c r="Q149" s="0" t="s">
        <v>227</v>
      </c>
      <c r="R149" s="0" t="s">
        <v>202</v>
      </c>
      <c r="S149" s="0" t="s">
        <v>515</v>
      </c>
      <c r="T149" s="0" t="s">
        <v>189</v>
      </c>
      <c r="U149" s="0" t="s">
        <v>516</v>
      </c>
      <c r="V149" s="0" t="s">
        <v>517</v>
      </c>
      <c r="W149" s="0" t="s">
        <v>518</v>
      </c>
      <c r="X149" s="0" t="s">
        <v>519</v>
      </c>
      <c r="Y149" s="0" t="n">
        <v>8</v>
      </c>
      <c r="Z149" s="0" t="s">
        <v>244</v>
      </c>
      <c r="AA149" s="0" t="n">
        <v>1.08</v>
      </c>
      <c r="AB149" s="0" t="s">
        <v>202</v>
      </c>
      <c r="AC149" s="0" t="n">
        <v>49137000</v>
      </c>
      <c r="AD149" s="0" t="n">
        <v>49137000</v>
      </c>
      <c r="AE149" s="0" t="n">
        <v>45497222.22</v>
      </c>
      <c r="AF149" s="0" t="n">
        <v>0.9058</v>
      </c>
      <c r="AG149" s="0" t="n">
        <v>44506000</v>
      </c>
      <c r="AH149" s="0" t="n">
        <v>44506000</v>
      </c>
      <c r="AI149" s="0" t="n">
        <v>4631000</v>
      </c>
      <c r="AJ149" s="0" t="n">
        <v>49137000</v>
      </c>
      <c r="AK149" s="0" t="n">
        <v>44506000</v>
      </c>
      <c r="AL149" s="0" t="n">
        <v>44506000</v>
      </c>
      <c r="AN149" s="0" t="n">
        <v>6.341</v>
      </c>
      <c r="AO149" s="0" t="n">
        <v>3.317</v>
      </c>
      <c r="AP149" s="0" t="n">
        <v>5.718</v>
      </c>
      <c r="AQ149" s="0" t="n">
        <v>100</v>
      </c>
      <c r="AR149" s="0" t="n">
        <v>100</v>
      </c>
      <c r="AS149" s="1" t="n">
        <v>42363</v>
      </c>
      <c r="AT149" s="1" t="n">
        <v>46929</v>
      </c>
      <c r="AU149" s="1" t="n">
        <v>46295</v>
      </c>
      <c r="AV149" s="0" t="s">
        <v>520</v>
      </c>
      <c r="AW149" s="0" t="s">
        <v>284</v>
      </c>
      <c r="AX149" s="0" t="s">
        <v>187</v>
      </c>
      <c r="AY149" s="0" t="s">
        <v>521</v>
      </c>
      <c r="AZ149" s="0" t="s">
        <v>522</v>
      </c>
      <c r="BA149" s="0" t="s">
        <v>517</v>
      </c>
      <c r="BB149" s="0" t="s">
        <v>284</v>
      </c>
      <c r="BC149" s="0" t="s">
        <v>523</v>
      </c>
      <c r="BI149" s="0" t="n">
        <v>49137000</v>
      </c>
      <c r="BJ149" s="0" t="n">
        <v>45497222.22</v>
      </c>
      <c r="BK149" s="0" t="s">
        <v>253</v>
      </c>
      <c r="BL149" s="0" t="s">
        <v>201</v>
      </c>
      <c r="BN149" s="0" t="n">
        <v>7.5</v>
      </c>
      <c r="BO149" s="0" t="n">
        <v>1.99</v>
      </c>
      <c r="BP149" s="0" t="s">
        <v>187</v>
      </c>
      <c r="BQ149" s="0" t="s">
        <v>187</v>
      </c>
      <c r="BR149" s="0" t="s">
        <v>203</v>
      </c>
      <c r="BS149" s="0" t="s">
        <v>524</v>
      </c>
      <c r="BT149" s="0" t="s">
        <v>255</v>
      </c>
      <c r="BU149" s="0" t="s">
        <v>224</v>
      </c>
      <c r="BW149" s="0" t="s">
        <v>206</v>
      </c>
      <c r="BX149" s="0" t="s">
        <v>207</v>
      </c>
      <c r="BY149" s="0" t="n">
        <v>300</v>
      </c>
      <c r="BZ149" s="0" t="n">
        <v>300</v>
      </c>
      <c r="CC149" s="0" t="s">
        <v>209</v>
      </c>
      <c r="CD149" s="0" t="s">
        <v>209</v>
      </c>
      <c r="CE149" s="0" t="s">
        <v>211</v>
      </c>
      <c r="CF149" s="0" t="s">
        <v>211</v>
      </c>
      <c r="CG149" s="0" t="s">
        <v>211</v>
      </c>
      <c r="CH149" s="1" t="n">
        <v>46112</v>
      </c>
      <c r="CI149" s="0" t="n">
        <v>1.2</v>
      </c>
      <c r="CJ149" s="0" t="n">
        <v>2.72</v>
      </c>
      <c r="CK149" s="0" t="n">
        <v>2.86</v>
      </c>
      <c r="CL149" s="0" t="s">
        <v>212</v>
      </c>
      <c r="DA149" s="0" t="n">
        <v>0.77</v>
      </c>
      <c r="DC149" s="0" t="n">
        <v>0.85</v>
      </c>
      <c r="DD149" s="0" t="s">
        <v>212</v>
      </c>
      <c r="ED149" s="0" t="s">
        <v>212</v>
      </c>
      <c r="EE149" s="0" t="n">
        <v>1.05</v>
      </c>
      <c r="EI149" s="0" t="n">
        <v>1.33</v>
      </c>
      <c r="FQ149" s="0" t="n">
        <v>63535662</v>
      </c>
    </row>
    <row r="150" customFormat="false" ht="15" hidden="false" customHeight="false" outlineLevel="0" collapsed="false">
      <c r="B150" s="0" t="str">
        <f aca="false">C150&amp;"x"&amp;I150</f>
        <v>61023x100230</v>
      </c>
      <c r="C150" s="0" t="n">
        <f aca="false">IF(G150="SINGLE",H150,G150)</f>
        <v>61023</v>
      </c>
      <c r="D150" s="0" t="e">
        <f aca="false">_xlfn.XLOOKUP(I150,calculations!$t:$t,calculations!$s:$s)</f>
        <v>#VALUE!</v>
      </c>
      <c r="E150" s="0" t="str">
        <f aca="false">_xlfn.XLOOKUP(I150,Mapping!$T:$T,Mapping!$Q:$Q)</f>
        <v>BIRC26</v>
      </c>
      <c r="F150" s="1" t="n">
        <v>46203</v>
      </c>
      <c r="G150" s="0" t="n">
        <v>61023</v>
      </c>
      <c r="H150" s="0" t="n">
        <v>61023</v>
      </c>
      <c r="I150" s="0" t="n">
        <v>100230</v>
      </c>
      <c r="J150" s="0" t="s">
        <v>514</v>
      </c>
      <c r="K150" s="0" t="s">
        <v>221</v>
      </c>
      <c r="L150" s="0" t="s">
        <v>221</v>
      </c>
      <c r="M150" s="0" t="s">
        <v>184</v>
      </c>
      <c r="N150" s="0" t="n">
        <v>82665000</v>
      </c>
      <c r="O150" s="0" t="n">
        <v>76541666.67</v>
      </c>
      <c r="P150" s="0" t="s">
        <v>185</v>
      </c>
      <c r="Q150" s="0" t="s">
        <v>227</v>
      </c>
      <c r="R150" s="0" t="s">
        <v>202</v>
      </c>
      <c r="S150" s="0" t="s">
        <v>515</v>
      </c>
      <c r="T150" s="0" t="s">
        <v>189</v>
      </c>
      <c r="U150" s="0" t="s">
        <v>516</v>
      </c>
      <c r="V150" s="0" t="s">
        <v>517</v>
      </c>
      <c r="W150" s="0" t="s">
        <v>518</v>
      </c>
      <c r="X150" s="0" t="s">
        <v>519</v>
      </c>
      <c r="Y150" s="0" t="n">
        <v>8</v>
      </c>
      <c r="Z150" s="0" t="s">
        <v>244</v>
      </c>
      <c r="AA150" s="0" t="n">
        <v>1.08</v>
      </c>
      <c r="AB150" s="0" t="s">
        <v>202</v>
      </c>
      <c r="AC150" s="0" t="n">
        <v>91268000</v>
      </c>
      <c r="AD150" s="0" t="n">
        <v>91268000</v>
      </c>
      <c r="AE150" s="0" t="n">
        <v>84507407.41</v>
      </c>
      <c r="AF150" s="0" t="n">
        <v>0.9057</v>
      </c>
      <c r="AG150" s="0" t="n">
        <v>82665000</v>
      </c>
      <c r="AH150" s="0" t="n">
        <v>82665000</v>
      </c>
      <c r="AI150" s="0" t="n">
        <v>8603000</v>
      </c>
      <c r="AJ150" s="0" t="n">
        <v>91268000</v>
      </c>
      <c r="AK150" s="0" t="n">
        <v>82665000</v>
      </c>
      <c r="AL150" s="0" t="n">
        <v>82665000</v>
      </c>
      <c r="AN150" s="0" t="n">
        <v>5.099</v>
      </c>
      <c r="AO150" s="0" t="n">
        <v>4.995</v>
      </c>
      <c r="AP150" s="0" t="n">
        <v>5.29</v>
      </c>
      <c r="AQ150" s="0" t="n">
        <v>100</v>
      </c>
      <c r="AR150" s="0" t="n">
        <v>100</v>
      </c>
      <c r="AS150" s="1" t="n">
        <v>42363</v>
      </c>
      <c r="AT150" s="1" t="n">
        <v>46929</v>
      </c>
      <c r="AU150" s="1" t="n">
        <v>46295</v>
      </c>
      <c r="AV150" s="0" t="s">
        <v>520</v>
      </c>
      <c r="AW150" s="0" t="s">
        <v>284</v>
      </c>
      <c r="AX150" s="0" t="s">
        <v>187</v>
      </c>
      <c r="AY150" s="0" t="s">
        <v>521</v>
      </c>
      <c r="AZ150" s="0" t="s">
        <v>522</v>
      </c>
      <c r="BA150" s="0" t="s">
        <v>517</v>
      </c>
      <c r="BB150" s="0" t="s">
        <v>284</v>
      </c>
      <c r="BC150" s="0" t="s">
        <v>523</v>
      </c>
      <c r="BI150" s="0" t="n">
        <v>91268000</v>
      </c>
      <c r="BJ150" s="0" t="n">
        <v>84507407.41</v>
      </c>
      <c r="BK150" s="0" t="s">
        <v>253</v>
      </c>
      <c r="BL150" s="0" t="s">
        <v>201</v>
      </c>
      <c r="BN150" s="0" t="n">
        <v>7.5</v>
      </c>
      <c r="BO150" s="0" t="n">
        <v>1.99</v>
      </c>
      <c r="BP150" s="0" t="s">
        <v>187</v>
      </c>
      <c r="BQ150" s="0" t="s">
        <v>187</v>
      </c>
      <c r="BR150" s="0" t="s">
        <v>203</v>
      </c>
      <c r="BS150" s="0" t="s">
        <v>524</v>
      </c>
      <c r="BT150" s="0" t="s">
        <v>255</v>
      </c>
      <c r="BU150" s="0" t="s">
        <v>255</v>
      </c>
      <c r="BW150" s="0" t="s">
        <v>206</v>
      </c>
      <c r="BX150" s="0" t="s">
        <v>207</v>
      </c>
      <c r="BY150" s="0" t="n">
        <v>300</v>
      </c>
      <c r="BZ150" s="0" t="n">
        <v>300</v>
      </c>
      <c r="CC150" s="0" t="s">
        <v>209</v>
      </c>
      <c r="CD150" s="0" t="s">
        <v>209</v>
      </c>
      <c r="CE150" s="0" t="s">
        <v>211</v>
      </c>
      <c r="CF150" s="0" t="s">
        <v>211</v>
      </c>
      <c r="CG150" s="0" t="s">
        <v>211</v>
      </c>
      <c r="CH150" s="1" t="n">
        <v>46112</v>
      </c>
      <c r="CI150" s="0" t="n">
        <v>1.2</v>
      </c>
      <c r="CJ150" s="0" t="n">
        <v>1.87</v>
      </c>
      <c r="CK150" s="0" t="n">
        <v>1.96</v>
      </c>
      <c r="CL150" s="0" t="s">
        <v>212</v>
      </c>
      <c r="DA150" s="0" t="n">
        <v>0.69</v>
      </c>
      <c r="DC150" s="0" t="n">
        <v>0.85</v>
      </c>
      <c r="DD150" s="0" t="s">
        <v>212</v>
      </c>
      <c r="ED150" s="0" t="s">
        <v>212</v>
      </c>
      <c r="EE150" s="0" t="n">
        <v>1.05</v>
      </c>
      <c r="EI150" s="0" t="n">
        <v>1.41</v>
      </c>
      <c r="FQ150" s="0" t="n">
        <v>76967863</v>
      </c>
    </row>
    <row r="151" customFormat="false" ht="15" hidden="false" customHeight="false" outlineLevel="0" collapsed="false">
      <c r="B151" s="0" t="str">
        <f aca="false">C151&amp;"x"&amp;I151</f>
        <v>61001x100230</v>
      </c>
      <c r="C151" s="0" t="n">
        <f aca="false">IF(G151="SINGLE",H151,G151)</f>
        <v>61001</v>
      </c>
      <c r="D151" s="0" t="e">
        <f aca="false">_xlfn.XLOOKUP(I151,calculations!$t:$t,calculations!$s:$s)</f>
        <v>#VALUE!</v>
      </c>
      <c r="E151" s="0" t="str">
        <f aca="false">_xlfn.XLOOKUP(I151,Mapping!$T:$T,Mapping!$Q:$Q)</f>
        <v>BIRC26</v>
      </c>
      <c r="F151" s="1" t="n">
        <v>46203</v>
      </c>
      <c r="G151" s="0" t="n">
        <v>61001</v>
      </c>
      <c r="H151" s="0" t="n">
        <v>61001</v>
      </c>
      <c r="I151" s="0" t="n">
        <v>100230</v>
      </c>
      <c r="J151" s="0" t="s">
        <v>514</v>
      </c>
      <c r="K151" s="0" t="s">
        <v>345</v>
      </c>
      <c r="L151" s="0" t="s">
        <v>345</v>
      </c>
      <c r="M151" s="0" t="s">
        <v>184</v>
      </c>
      <c r="N151" s="0" t="n">
        <v>64684000</v>
      </c>
      <c r="O151" s="0" t="n">
        <v>59892592.59</v>
      </c>
      <c r="P151" s="0" t="s">
        <v>185</v>
      </c>
      <c r="Q151" s="0" t="s">
        <v>227</v>
      </c>
      <c r="R151" s="0" t="s">
        <v>202</v>
      </c>
      <c r="S151" s="0" t="s">
        <v>515</v>
      </c>
      <c r="T151" s="0" t="s">
        <v>189</v>
      </c>
      <c r="U151" s="0" t="s">
        <v>516</v>
      </c>
      <c r="V151" s="0" t="s">
        <v>517</v>
      </c>
      <c r="W151" s="0" t="s">
        <v>518</v>
      </c>
      <c r="X151" s="0" t="s">
        <v>519</v>
      </c>
      <c r="Y151" s="0" t="n">
        <v>8</v>
      </c>
      <c r="Z151" s="0" t="s">
        <v>244</v>
      </c>
      <c r="AA151" s="0" t="n">
        <v>1.08</v>
      </c>
      <c r="AB151" s="0" t="s">
        <v>202</v>
      </c>
      <c r="AC151" s="0" t="n">
        <v>71415000</v>
      </c>
      <c r="AD151" s="0" t="n">
        <v>71415000</v>
      </c>
      <c r="AE151" s="0" t="n">
        <v>66125000</v>
      </c>
      <c r="AF151" s="0" t="n">
        <v>0.9057</v>
      </c>
      <c r="AG151" s="0" t="n">
        <v>64684000</v>
      </c>
      <c r="AH151" s="0" t="n">
        <v>64684000</v>
      </c>
      <c r="AI151" s="0" t="n">
        <v>6731000</v>
      </c>
      <c r="AJ151" s="0" t="n">
        <v>71415000</v>
      </c>
      <c r="AK151" s="0" t="n">
        <v>64684000</v>
      </c>
      <c r="AL151" s="0" t="n">
        <v>64684000</v>
      </c>
      <c r="AN151" s="0" t="n">
        <v>5.158</v>
      </c>
      <c r="AO151" s="0" t="n">
        <v>4.64</v>
      </c>
      <c r="AP151" s="0" t="n">
        <v>5.203</v>
      </c>
      <c r="AQ151" s="0" t="n">
        <v>100</v>
      </c>
      <c r="AR151" s="0" t="n">
        <v>100</v>
      </c>
      <c r="AS151" s="1" t="n">
        <v>42363</v>
      </c>
      <c r="AT151" s="1" t="n">
        <v>46929</v>
      </c>
      <c r="AU151" s="1" t="n">
        <v>46295</v>
      </c>
      <c r="AV151" s="0" t="s">
        <v>520</v>
      </c>
      <c r="AW151" s="0" t="s">
        <v>284</v>
      </c>
      <c r="AX151" s="0" t="s">
        <v>187</v>
      </c>
      <c r="AY151" s="0" t="s">
        <v>521</v>
      </c>
      <c r="AZ151" s="0" t="s">
        <v>522</v>
      </c>
      <c r="BA151" s="0" t="s">
        <v>517</v>
      </c>
      <c r="BB151" s="0" t="s">
        <v>284</v>
      </c>
      <c r="BC151" s="0" t="s">
        <v>523</v>
      </c>
      <c r="BI151" s="0" t="n">
        <v>71415000</v>
      </c>
      <c r="BJ151" s="0" t="n">
        <v>66125000</v>
      </c>
      <c r="BK151" s="0" t="s">
        <v>253</v>
      </c>
      <c r="BL151" s="0" t="s">
        <v>201</v>
      </c>
      <c r="BN151" s="0" t="n">
        <v>7.5</v>
      </c>
      <c r="BO151" s="0" t="n">
        <v>1.99</v>
      </c>
      <c r="BP151" s="0" t="s">
        <v>187</v>
      </c>
      <c r="BQ151" s="0" t="s">
        <v>187</v>
      </c>
      <c r="BR151" s="0" t="s">
        <v>203</v>
      </c>
      <c r="BS151" s="0" t="s">
        <v>524</v>
      </c>
      <c r="BT151" s="0" t="s">
        <v>255</v>
      </c>
      <c r="BU151" s="0" t="s">
        <v>216</v>
      </c>
      <c r="BW151" s="0" t="s">
        <v>206</v>
      </c>
      <c r="BX151" s="0" t="s">
        <v>207</v>
      </c>
      <c r="BY151" s="0" t="n">
        <v>300</v>
      </c>
      <c r="BZ151" s="0" t="n">
        <v>300</v>
      </c>
      <c r="CC151" s="0" t="s">
        <v>209</v>
      </c>
      <c r="CD151" s="0" t="s">
        <v>209</v>
      </c>
      <c r="CE151" s="0" t="s">
        <v>211</v>
      </c>
      <c r="CF151" s="0" t="s">
        <v>211</v>
      </c>
      <c r="CG151" s="0" t="s">
        <v>211</v>
      </c>
      <c r="CH151" s="1" t="n">
        <v>46112</v>
      </c>
      <c r="CI151" s="0" t="n">
        <v>1.2</v>
      </c>
      <c r="CJ151" s="0" t="n">
        <v>1.81</v>
      </c>
      <c r="CK151" s="0" t="n">
        <v>1.9</v>
      </c>
      <c r="CL151" s="0" t="s">
        <v>212</v>
      </c>
      <c r="DA151" s="0" t="n">
        <v>0.83</v>
      </c>
      <c r="DC151" s="0" t="n">
        <v>0.85</v>
      </c>
      <c r="DD151" s="0" t="s">
        <v>213</v>
      </c>
      <c r="ED151" s="0" t="s">
        <v>212</v>
      </c>
      <c r="EE151" s="0" t="n">
        <v>1.05</v>
      </c>
      <c r="EI151" s="0" t="n">
        <v>1.85</v>
      </c>
      <c r="FQ151" s="0" t="n">
        <v>87084556</v>
      </c>
    </row>
    <row r="152" customFormat="false" ht="15" hidden="false" customHeight="false" outlineLevel="0" collapsed="false">
      <c r="B152" s="0" t="str">
        <f aca="false">C152&amp;"x"&amp;I152</f>
        <v>61011x100230</v>
      </c>
      <c r="C152" s="0" t="n">
        <f aca="false">IF(G152="SINGLE",H152,G152)</f>
        <v>61011</v>
      </c>
      <c r="D152" s="0" t="e">
        <f aca="false">_xlfn.XLOOKUP(I152,calculations!$t:$t,calculations!$s:$s)</f>
        <v>#VALUE!</v>
      </c>
      <c r="E152" s="0" t="str">
        <f aca="false">_xlfn.XLOOKUP(I152,Mapping!$T:$T,Mapping!$Q:$Q)</f>
        <v>BIRC26</v>
      </c>
      <c r="F152" s="1" t="n">
        <v>46203</v>
      </c>
      <c r="G152" s="0" t="n">
        <v>61011</v>
      </c>
      <c r="H152" s="0" t="n">
        <v>61011</v>
      </c>
      <c r="I152" s="0" t="n">
        <v>100230</v>
      </c>
      <c r="J152" s="0" t="s">
        <v>514</v>
      </c>
      <c r="K152" s="0" t="s">
        <v>421</v>
      </c>
      <c r="L152" s="0" t="s">
        <v>421</v>
      </c>
      <c r="M152" s="0" t="s">
        <v>184</v>
      </c>
      <c r="N152" s="0" t="n">
        <v>75107000</v>
      </c>
      <c r="O152" s="0" t="n">
        <v>69543518.52</v>
      </c>
      <c r="P152" s="0" t="s">
        <v>185</v>
      </c>
      <c r="Q152" s="0" t="s">
        <v>227</v>
      </c>
      <c r="R152" s="0" t="s">
        <v>202</v>
      </c>
      <c r="S152" s="0" t="s">
        <v>515</v>
      </c>
      <c r="T152" s="0" t="s">
        <v>189</v>
      </c>
      <c r="U152" s="0" t="s">
        <v>516</v>
      </c>
      <c r="V152" s="0" t="s">
        <v>517</v>
      </c>
      <c r="W152" s="0" t="s">
        <v>518</v>
      </c>
      <c r="X152" s="0" t="s">
        <v>519</v>
      </c>
      <c r="Y152" s="0" t="n">
        <v>8</v>
      </c>
      <c r="Z152" s="0" t="s">
        <v>244</v>
      </c>
      <c r="AA152" s="0" t="n">
        <v>1.08</v>
      </c>
      <c r="AB152" s="0" t="s">
        <v>202</v>
      </c>
      <c r="AC152" s="0" t="n">
        <v>82923000</v>
      </c>
      <c r="AD152" s="0" t="n">
        <v>82923000</v>
      </c>
      <c r="AE152" s="0" t="n">
        <v>76780555.56</v>
      </c>
      <c r="AF152" s="0" t="n">
        <v>0.9057</v>
      </c>
      <c r="AG152" s="0" t="n">
        <v>75107000</v>
      </c>
      <c r="AH152" s="0" t="n">
        <v>75107000</v>
      </c>
      <c r="AI152" s="0" t="n">
        <v>7816000</v>
      </c>
      <c r="AJ152" s="0" t="n">
        <v>82923000</v>
      </c>
      <c r="AK152" s="0" t="n">
        <v>75107000</v>
      </c>
      <c r="AL152" s="0" t="n">
        <v>75107000</v>
      </c>
      <c r="AN152" s="0" t="n">
        <v>2.642</v>
      </c>
      <c r="AO152" s="0" t="n">
        <v>3.996</v>
      </c>
      <c r="AP152" s="0" t="n">
        <v>5.476</v>
      </c>
      <c r="AQ152" s="0" t="n">
        <v>100</v>
      </c>
      <c r="AR152" s="0" t="n">
        <v>100</v>
      </c>
      <c r="AS152" s="1" t="n">
        <v>42363</v>
      </c>
      <c r="AT152" s="1" t="n">
        <v>46929</v>
      </c>
      <c r="AU152" s="1" t="n">
        <v>46295</v>
      </c>
      <c r="AV152" s="0" t="s">
        <v>520</v>
      </c>
      <c r="AW152" s="0" t="s">
        <v>284</v>
      </c>
      <c r="AX152" s="0" t="s">
        <v>187</v>
      </c>
      <c r="AY152" s="0" t="s">
        <v>521</v>
      </c>
      <c r="AZ152" s="0" t="s">
        <v>522</v>
      </c>
      <c r="BA152" s="0" t="s">
        <v>517</v>
      </c>
      <c r="BB152" s="0" t="s">
        <v>284</v>
      </c>
      <c r="BC152" s="0" t="s">
        <v>523</v>
      </c>
      <c r="BI152" s="0" t="n">
        <v>82923000</v>
      </c>
      <c r="BJ152" s="0" t="n">
        <v>76780555.56</v>
      </c>
      <c r="BK152" s="0" t="s">
        <v>253</v>
      </c>
      <c r="BL152" s="0" t="s">
        <v>201</v>
      </c>
      <c r="BN152" s="0" t="n">
        <v>7.5</v>
      </c>
      <c r="BO152" s="0" t="n">
        <v>1.99</v>
      </c>
      <c r="BP152" s="0" t="s">
        <v>187</v>
      </c>
      <c r="BQ152" s="0" t="s">
        <v>187</v>
      </c>
      <c r="BR152" s="0" t="s">
        <v>203</v>
      </c>
      <c r="BS152" s="0" t="s">
        <v>524</v>
      </c>
      <c r="BT152" s="0" t="s">
        <v>255</v>
      </c>
      <c r="BU152" s="0" t="s">
        <v>224</v>
      </c>
      <c r="BW152" s="0" t="s">
        <v>206</v>
      </c>
      <c r="BX152" s="0" t="s">
        <v>207</v>
      </c>
      <c r="BY152" s="0" t="n">
        <v>300</v>
      </c>
      <c r="BZ152" s="0" t="n">
        <v>300</v>
      </c>
      <c r="CC152" s="0" t="s">
        <v>209</v>
      </c>
      <c r="CD152" s="0" t="s">
        <v>209</v>
      </c>
      <c r="CE152" s="0" t="s">
        <v>211</v>
      </c>
      <c r="CF152" s="0" t="s">
        <v>211</v>
      </c>
      <c r="CG152" s="0" t="s">
        <v>211</v>
      </c>
      <c r="CH152" s="1" t="n">
        <v>46112</v>
      </c>
      <c r="CI152" s="0" t="n">
        <v>1.2</v>
      </c>
      <c r="CJ152" s="0" t="n">
        <v>2.97</v>
      </c>
      <c r="CK152" s="0" t="n">
        <v>3.12</v>
      </c>
      <c r="CL152" s="0" t="s">
        <v>212</v>
      </c>
      <c r="DA152" s="0" t="n">
        <v>0.77</v>
      </c>
      <c r="DC152" s="0" t="n">
        <v>0.85</v>
      </c>
      <c r="DD152" s="0" t="s">
        <v>212</v>
      </c>
      <c r="ED152" s="0" t="s">
        <v>212</v>
      </c>
      <c r="EE152" s="0" t="n">
        <v>1.05</v>
      </c>
      <c r="EI152" s="0" t="n">
        <v>1.3</v>
      </c>
      <c r="FQ152" s="0" t="n">
        <v>64311337</v>
      </c>
    </row>
    <row r="153" customFormat="false" ht="15" hidden="false" customHeight="false" outlineLevel="0" collapsed="false">
      <c r="B153" s="0" t="str">
        <f aca="false">C153&amp;"x"&amp;I153</f>
        <v>61013x100230</v>
      </c>
      <c r="C153" s="0" t="n">
        <f aca="false">IF(G153="SINGLE",H153,G153)</f>
        <v>61013</v>
      </c>
      <c r="D153" s="0" t="e">
        <f aca="false">_xlfn.XLOOKUP(I153,calculations!$t:$t,calculations!$s:$s)</f>
        <v>#VALUE!</v>
      </c>
      <c r="E153" s="0" t="str">
        <f aca="false">_xlfn.XLOOKUP(I153,Mapping!$T:$T,Mapping!$Q:$Q)</f>
        <v>BIRC26</v>
      </c>
      <c r="F153" s="1" t="n">
        <v>46203</v>
      </c>
      <c r="G153" s="0" t="n">
        <v>61013</v>
      </c>
      <c r="H153" s="0" t="n">
        <v>61013</v>
      </c>
      <c r="I153" s="0" t="n">
        <v>100230</v>
      </c>
      <c r="J153" s="0" t="s">
        <v>514</v>
      </c>
      <c r="K153" s="0" t="s">
        <v>260</v>
      </c>
      <c r="L153" s="0" t="s">
        <v>260</v>
      </c>
      <c r="M153" s="0" t="s">
        <v>184</v>
      </c>
      <c r="N153" s="0" t="n">
        <v>59326000</v>
      </c>
      <c r="O153" s="0" t="n">
        <v>54931481.48</v>
      </c>
      <c r="P153" s="0" t="s">
        <v>185</v>
      </c>
      <c r="Q153" s="0" t="s">
        <v>227</v>
      </c>
      <c r="R153" s="0" t="s">
        <v>202</v>
      </c>
      <c r="S153" s="0" t="s">
        <v>515</v>
      </c>
      <c r="T153" s="0" t="s">
        <v>189</v>
      </c>
      <c r="U153" s="0" t="s">
        <v>516</v>
      </c>
      <c r="V153" s="0" t="s">
        <v>517</v>
      </c>
      <c r="W153" s="0" t="s">
        <v>518</v>
      </c>
      <c r="X153" s="0" t="s">
        <v>519</v>
      </c>
      <c r="Y153" s="0" t="n">
        <v>8</v>
      </c>
      <c r="Z153" s="0" t="s">
        <v>244</v>
      </c>
      <c r="AA153" s="0" t="n">
        <v>1.08</v>
      </c>
      <c r="AB153" s="0" t="s">
        <v>202</v>
      </c>
      <c r="AC153" s="0" t="n">
        <v>65500000</v>
      </c>
      <c r="AD153" s="0" t="n">
        <v>65500000</v>
      </c>
      <c r="AE153" s="0" t="n">
        <v>60648148.15</v>
      </c>
      <c r="AF153" s="0" t="n">
        <v>0.9057</v>
      </c>
      <c r="AG153" s="0" t="n">
        <v>59326000</v>
      </c>
      <c r="AH153" s="0" t="n">
        <v>59326000</v>
      </c>
      <c r="AI153" s="0" t="n">
        <v>6174000</v>
      </c>
      <c r="AJ153" s="0" t="n">
        <v>65500000</v>
      </c>
      <c r="AK153" s="0" t="n">
        <v>59326000</v>
      </c>
      <c r="AL153" s="0" t="n">
        <v>59326000</v>
      </c>
      <c r="AN153" s="0" t="n">
        <v>5.695</v>
      </c>
      <c r="AO153" s="0" t="n">
        <v>5.743</v>
      </c>
      <c r="AP153" s="0" t="n">
        <v>4.835</v>
      </c>
      <c r="AQ153" s="0" t="n">
        <v>100</v>
      </c>
      <c r="AR153" s="0" t="n">
        <v>100</v>
      </c>
      <c r="AS153" s="1" t="n">
        <v>42363</v>
      </c>
      <c r="AT153" s="1" t="n">
        <v>46929</v>
      </c>
      <c r="AU153" s="1" t="n">
        <v>46295</v>
      </c>
      <c r="AV153" s="0" t="s">
        <v>520</v>
      </c>
      <c r="AW153" s="0" t="s">
        <v>284</v>
      </c>
      <c r="AX153" s="0" t="s">
        <v>187</v>
      </c>
      <c r="AY153" s="0" t="s">
        <v>521</v>
      </c>
      <c r="AZ153" s="0" t="s">
        <v>522</v>
      </c>
      <c r="BA153" s="0" t="s">
        <v>517</v>
      </c>
      <c r="BB153" s="0" t="s">
        <v>284</v>
      </c>
      <c r="BC153" s="0" t="s">
        <v>523</v>
      </c>
      <c r="BI153" s="0" t="n">
        <v>65500000</v>
      </c>
      <c r="BJ153" s="0" t="n">
        <v>60648148.15</v>
      </c>
      <c r="BK153" s="0" t="s">
        <v>253</v>
      </c>
      <c r="BL153" s="0" t="s">
        <v>201</v>
      </c>
      <c r="BN153" s="0" t="n">
        <v>7.5</v>
      </c>
      <c r="BO153" s="0" t="n">
        <v>1.99</v>
      </c>
      <c r="BP153" s="0" t="s">
        <v>187</v>
      </c>
      <c r="BQ153" s="0" t="s">
        <v>187</v>
      </c>
      <c r="BR153" s="0" t="s">
        <v>203</v>
      </c>
      <c r="BS153" s="0" t="s">
        <v>524</v>
      </c>
      <c r="BT153" s="0" t="s">
        <v>255</v>
      </c>
      <c r="BU153" s="0" t="s">
        <v>224</v>
      </c>
      <c r="BW153" s="0" t="s">
        <v>206</v>
      </c>
      <c r="BX153" s="0" t="s">
        <v>207</v>
      </c>
      <c r="BY153" s="0" t="n">
        <v>300</v>
      </c>
      <c r="BZ153" s="0" t="n">
        <v>300</v>
      </c>
      <c r="CC153" s="0" t="s">
        <v>209</v>
      </c>
      <c r="CD153" s="0" t="s">
        <v>209</v>
      </c>
      <c r="CE153" s="0" t="s">
        <v>211</v>
      </c>
      <c r="CF153" s="0" t="s">
        <v>211</v>
      </c>
      <c r="CG153" s="0" t="s">
        <v>211</v>
      </c>
      <c r="CH153" s="1" t="n">
        <v>46112</v>
      </c>
      <c r="CI153" s="0" t="n">
        <v>1.2</v>
      </c>
      <c r="CJ153" s="0" t="n">
        <v>2.68</v>
      </c>
      <c r="CK153" s="0" t="n">
        <v>2.81</v>
      </c>
      <c r="CL153" s="0" t="s">
        <v>212</v>
      </c>
      <c r="DA153" s="0" t="n">
        <v>0.74</v>
      </c>
      <c r="DC153" s="0" t="n">
        <v>0.85</v>
      </c>
      <c r="DD153" s="0" t="s">
        <v>212</v>
      </c>
      <c r="ED153" s="0" t="s">
        <v>212</v>
      </c>
      <c r="EE153" s="0" t="n">
        <v>1.05</v>
      </c>
      <c r="EI153" s="0" t="n">
        <v>1.74</v>
      </c>
      <c r="FQ153" s="0" t="n">
        <v>71622431</v>
      </c>
    </row>
    <row r="154" customFormat="false" ht="15" hidden="false" customHeight="false" outlineLevel="0" collapsed="false">
      <c r="B154" s="0" t="str">
        <f aca="false">C154&amp;"x"&amp;I154</f>
        <v>61021x100231</v>
      </c>
      <c r="C154" s="0" t="n">
        <f aca="false">IF(G154="SINGLE",H154,G154)</f>
        <v>61021</v>
      </c>
      <c r="D154" s="0" t="e">
        <f aca="false">_xlfn.XLOOKUP(I154,calculations!$t:$t,calculations!$s:$s)</f>
        <v>#VALUE!</v>
      </c>
      <c r="E154" s="0" t="str">
        <f aca="false">_xlfn.XLOOKUP(I154,Mapping!$T:$T,Mapping!$Q:$Q)</f>
        <v>COBA27</v>
      </c>
      <c r="F154" s="1" t="n">
        <v>46203</v>
      </c>
      <c r="G154" s="0" t="n">
        <v>61021</v>
      </c>
      <c r="H154" s="0" t="n">
        <v>61021</v>
      </c>
      <c r="I154" s="0" t="n">
        <v>100231</v>
      </c>
      <c r="J154" s="0" t="s">
        <v>525</v>
      </c>
      <c r="K154" s="0" t="s">
        <v>214</v>
      </c>
      <c r="L154" s="0" t="s">
        <v>214</v>
      </c>
      <c r="M154" s="0" t="s">
        <v>184</v>
      </c>
      <c r="N154" s="0" t="n">
        <v>120469000</v>
      </c>
      <c r="O154" s="0" t="n">
        <v>120469000</v>
      </c>
      <c r="P154" s="0" t="s">
        <v>185</v>
      </c>
      <c r="Q154" s="0" t="s">
        <v>227</v>
      </c>
      <c r="R154" s="0" t="s">
        <v>187</v>
      </c>
      <c r="S154" s="0" t="s">
        <v>526</v>
      </c>
      <c r="T154" s="0" t="s">
        <v>189</v>
      </c>
      <c r="U154" s="0" t="s">
        <v>367</v>
      </c>
      <c r="V154" s="0" t="s">
        <v>368</v>
      </c>
      <c r="W154" s="0" t="s">
        <v>246</v>
      </c>
      <c r="X154" s="0" t="s">
        <v>527</v>
      </c>
      <c r="Y154" s="0" t="n">
        <v>10.9</v>
      </c>
      <c r="Z154" s="0" t="s">
        <v>185</v>
      </c>
      <c r="AA154" s="0" t="n">
        <v>1</v>
      </c>
      <c r="AB154" s="0" t="s">
        <v>187</v>
      </c>
      <c r="AC154" s="0" t="n">
        <v>121053000</v>
      </c>
      <c r="AD154" s="0" t="n">
        <v>121053000</v>
      </c>
      <c r="AE154" s="0" t="n">
        <v>121053000</v>
      </c>
      <c r="AF154" s="0" t="n">
        <v>0.9952</v>
      </c>
      <c r="AG154" s="0" t="n">
        <v>120469000</v>
      </c>
      <c r="AH154" s="0" t="n">
        <v>120469000</v>
      </c>
      <c r="AI154" s="0" t="n">
        <v>584000</v>
      </c>
      <c r="AJ154" s="0" t="n">
        <v>121053000</v>
      </c>
      <c r="AK154" s="0" t="n">
        <v>120469000</v>
      </c>
      <c r="AL154" s="0" t="n">
        <v>120469000</v>
      </c>
      <c r="AM154" s="0" t="s">
        <v>194</v>
      </c>
      <c r="AN154" s="0" t="n">
        <v>4.784</v>
      </c>
      <c r="AO154" s="0" t="n">
        <v>3.426</v>
      </c>
      <c r="AP154" s="0" t="n">
        <v>6.398</v>
      </c>
      <c r="AQ154" s="0" t="n">
        <v>100</v>
      </c>
      <c r="AR154" s="0" t="n">
        <v>100</v>
      </c>
      <c r="AS154" s="1" t="n">
        <v>45543</v>
      </c>
      <c r="AT154" s="1" t="n">
        <v>54309</v>
      </c>
      <c r="AU154" s="1" t="n">
        <v>46295</v>
      </c>
      <c r="AV154" s="0" t="s">
        <v>528</v>
      </c>
      <c r="AW154" s="0" t="s">
        <v>529</v>
      </c>
      <c r="AX154" s="0" t="s">
        <v>187</v>
      </c>
      <c r="AY154" s="0" t="s">
        <v>530</v>
      </c>
      <c r="AZ154" s="0" t="s">
        <v>531</v>
      </c>
      <c r="BA154" s="0" t="s">
        <v>368</v>
      </c>
      <c r="BB154" s="0" t="s">
        <v>529</v>
      </c>
      <c r="BC154" s="0" t="s">
        <v>532</v>
      </c>
      <c r="BI154" s="0" t="n">
        <v>121053000</v>
      </c>
      <c r="BJ154" s="0" t="n">
        <v>121053000</v>
      </c>
      <c r="BK154" s="0" t="s">
        <v>200</v>
      </c>
      <c r="BL154" s="0" t="s">
        <v>201</v>
      </c>
      <c r="BN154" s="0" t="n">
        <v>14.4</v>
      </c>
      <c r="BO154" s="0" t="n">
        <v>22.19</v>
      </c>
      <c r="BP154" s="0" t="s">
        <v>202</v>
      </c>
      <c r="BQ154" s="0" t="s">
        <v>187</v>
      </c>
      <c r="BR154" s="0" t="s">
        <v>203</v>
      </c>
      <c r="BS154" s="0" t="s">
        <v>533</v>
      </c>
      <c r="BT154" s="0" t="s">
        <v>224</v>
      </c>
      <c r="BU154" s="0" t="s">
        <v>269</v>
      </c>
      <c r="BW154" s="0" t="s">
        <v>257</v>
      </c>
      <c r="BX154" s="0" t="s">
        <v>217</v>
      </c>
      <c r="BY154" s="0" t="n">
        <v>260</v>
      </c>
      <c r="BZ154" s="0" t="n">
        <v>260</v>
      </c>
      <c r="CB154" s="0" t="s">
        <v>208</v>
      </c>
      <c r="CC154" s="0" t="s">
        <v>256</v>
      </c>
      <c r="CD154" s="0" t="s">
        <v>256</v>
      </c>
      <c r="CE154" s="0" t="s">
        <v>211</v>
      </c>
      <c r="CF154" s="0" t="s">
        <v>211</v>
      </c>
      <c r="CG154" s="0" t="s">
        <v>211</v>
      </c>
      <c r="CH154" s="1" t="n">
        <v>46112</v>
      </c>
      <c r="CI154" s="0" t="n">
        <v>1.2</v>
      </c>
      <c r="CJ154" s="0" t="n">
        <v>1.36</v>
      </c>
      <c r="CK154" s="0" t="n">
        <v>1.43</v>
      </c>
      <c r="CL154" s="0" t="s">
        <v>212</v>
      </c>
      <c r="DA154" s="0" t="n">
        <v>0.69</v>
      </c>
      <c r="DC154" s="0" t="n">
        <v>0.85</v>
      </c>
      <c r="DD154" s="0" t="s">
        <v>212</v>
      </c>
      <c r="ED154" s="0" t="s">
        <v>212</v>
      </c>
      <c r="EE154" s="0" t="n">
        <v>1.05</v>
      </c>
      <c r="EI154" s="0" t="n">
        <v>1.8</v>
      </c>
      <c r="FQ154" s="0" t="n">
        <v>91245238</v>
      </c>
    </row>
    <row r="155" customFormat="false" ht="15" hidden="false" customHeight="false" outlineLevel="0" collapsed="false">
      <c r="B155" s="0" t="str">
        <f aca="false">C155&amp;"x"&amp;I155</f>
        <v>61001x100231</v>
      </c>
      <c r="C155" s="0" t="n">
        <f aca="false">IF(G155="SINGLE",H155,G155)</f>
        <v>61001</v>
      </c>
      <c r="D155" s="0" t="e">
        <f aca="false">_xlfn.XLOOKUP(I155,calculations!$t:$t,calculations!$s:$s)</f>
        <v>#VALUE!</v>
      </c>
      <c r="E155" s="0" t="str">
        <f aca="false">_xlfn.XLOOKUP(I155,Mapping!$T:$T,Mapping!$Q:$Q)</f>
        <v>COBA27</v>
      </c>
      <c r="F155" s="1" t="n">
        <v>46203</v>
      </c>
      <c r="G155" s="0" t="n">
        <v>61001</v>
      </c>
      <c r="H155" s="0" t="n">
        <v>61001</v>
      </c>
      <c r="I155" s="0" t="n">
        <v>100231</v>
      </c>
      <c r="J155" s="0" t="s">
        <v>525</v>
      </c>
      <c r="K155" s="0" t="s">
        <v>345</v>
      </c>
      <c r="L155" s="0" t="s">
        <v>345</v>
      </c>
      <c r="M155" s="0" t="s">
        <v>184</v>
      </c>
      <c r="N155" s="0" t="n">
        <v>38094000</v>
      </c>
      <c r="O155" s="0" t="n">
        <v>38094000</v>
      </c>
      <c r="P155" s="0" t="s">
        <v>185</v>
      </c>
      <c r="Q155" s="0" t="s">
        <v>227</v>
      </c>
      <c r="R155" s="0" t="s">
        <v>187</v>
      </c>
      <c r="S155" s="0" t="s">
        <v>526</v>
      </c>
      <c r="T155" s="0" t="s">
        <v>189</v>
      </c>
      <c r="U155" s="0" t="s">
        <v>367</v>
      </c>
      <c r="V155" s="0" t="s">
        <v>368</v>
      </c>
      <c r="W155" s="0" t="s">
        <v>246</v>
      </c>
      <c r="X155" s="0" t="s">
        <v>527</v>
      </c>
      <c r="Y155" s="0" t="n">
        <v>10.9</v>
      </c>
      <c r="Z155" s="0" t="s">
        <v>185</v>
      </c>
      <c r="AA155" s="0" t="n">
        <v>1</v>
      </c>
      <c r="AB155" s="0" t="s">
        <v>187</v>
      </c>
      <c r="AC155" s="0" t="n">
        <v>38279000</v>
      </c>
      <c r="AD155" s="0" t="n">
        <v>38279000</v>
      </c>
      <c r="AE155" s="0" t="n">
        <v>38279000</v>
      </c>
      <c r="AF155" s="0" t="n">
        <v>0.9952</v>
      </c>
      <c r="AG155" s="0" t="n">
        <v>38094000</v>
      </c>
      <c r="AH155" s="0" t="n">
        <v>38094000</v>
      </c>
      <c r="AI155" s="0" t="n">
        <v>185000</v>
      </c>
      <c r="AJ155" s="0" t="n">
        <v>38279000</v>
      </c>
      <c r="AK155" s="0" t="n">
        <v>38094000</v>
      </c>
      <c r="AL155" s="0" t="n">
        <v>38094000</v>
      </c>
      <c r="AM155" s="0" t="s">
        <v>194</v>
      </c>
      <c r="AN155" s="0" t="n">
        <v>4.406</v>
      </c>
      <c r="AO155" s="0" t="n">
        <v>5.231</v>
      </c>
      <c r="AP155" s="0" t="n">
        <v>5.185</v>
      </c>
      <c r="AQ155" s="0" t="n">
        <v>100</v>
      </c>
      <c r="AR155" s="0" t="n">
        <v>100</v>
      </c>
      <c r="AS155" s="1" t="n">
        <v>45543</v>
      </c>
      <c r="AT155" s="1" t="n">
        <v>54309</v>
      </c>
      <c r="AU155" s="1" t="n">
        <v>46295</v>
      </c>
      <c r="AV155" s="0" t="s">
        <v>528</v>
      </c>
      <c r="AW155" s="0" t="s">
        <v>529</v>
      </c>
      <c r="AX155" s="0" t="s">
        <v>187</v>
      </c>
      <c r="AY155" s="0" t="s">
        <v>530</v>
      </c>
      <c r="AZ155" s="0" t="s">
        <v>531</v>
      </c>
      <c r="BA155" s="0" t="s">
        <v>368</v>
      </c>
      <c r="BB155" s="0" t="s">
        <v>529</v>
      </c>
      <c r="BC155" s="0" t="s">
        <v>532</v>
      </c>
      <c r="BI155" s="0" t="n">
        <v>38279000</v>
      </c>
      <c r="BJ155" s="0" t="n">
        <v>38279000</v>
      </c>
      <c r="BK155" s="0" t="s">
        <v>200</v>
      </c>
      <c r="BL155" s="0" t="s">
        <v>201</v>
      </c>
      <c r="BN155" s="0" t="n">
        <v>14.4</v>
      </c>
      <c r="BO155" s="0" t="n">
        <v>22.19</v>
      </c>
      <c r="BP155" s="0" t="s">
        <v>202</v>
      </c>
      <c r="BQ155" s="0" t="s">
        <v>187</v>
      </c>
      <c r="BR155" s="0" t="s">
        <v>203</v>
      </c>
      <c r="BS155" s="0" t="s">
        <v>533</v>
      </c>
      <c r="BT155" s="0" t="s">
        <v>224</v>
      </c>
      <c r="BU155" s="0" t="s">
        <v>205</v>
      </c>
      <c r="BW155" s="0" t="s">
        <v>257</v>
      </c>
      <c r="BX155" s="0" t="s">
        <v>207</v>
      </c>
      <c r="BY155" s="0" t="n">
        <v>260</v>
      </c>
      <c r="BZ155" s="0" t="n">
        <v>260</v>
      </c>
      <c r="CB155" s="0" t="s">
        <v>208</v>
      </c>
      <c r="CC155" s="0" t="s">
        <v>256</v>
      </c>
      <c r="CD155" s="0" t="s">
        <v>256</v>
      </c>
      <c r="CE155" s="0" t="s">
        <v>211</v>
      </c>
      <c r="CF155" s="0" t="s">
        <v>211</v>
      </c>
      <c r="CG155" s="0" t="s">
        <v>211</v>
      </c>
      <c r="CH155" s="1" t="n">
        <v>46112</v>
      </c>
      <c r="CI155" s="0" t="n">
        <v>1.2</v>
      </c>
      <c r="CJ155" s="0" t="n">
        <v>3.23</v>
      </c>
      <c r="CK155" s="0" t="n">
        <v>3.39</v>
      </c>
      <c r="CL155" s="0" t="s">
        <v>212</v>
      </c>
      <c r="DA155" s="0" t="n">
        <v>0.71</v>
      </c>
      <c r="DC155" s="0" t="n">
        <v>0.85</v>
      </c>
      <c r="DD155" s="0" t="s">
        <v>212</v>
      </c>
      <c r="ED155" s="0" t="s">
        <v>213</v>
      </c>
      <c r="EE155" s="0" t="n">
        <v>1.05</v>
      </c>
      <c r="EI155" s="0" t="n">
        <v>1.16</v>
      </c>
      <c r="FQ155" s="0" t="n">
        <v>58121798</v>
      </c>
    </row>
    <row r="156" customFormat="false" ht="15" hidden="false" customHeight="false" outlineLevel="0" collapsed="false">
      <c r="B156" s="0" t="str">
        <f aca="false">C156&amp;"x"&amp;I156</f>
        <v>61026x100231</v>
      </c>
      <c r="C156" s="0" t="n">
        <f aca="false">IF(G156="SINGLE",H156,G156)</f>
        <v>61026</v>
      </c>
      <c r="D156" s="0" t="e">
        <f aca="false">_xlfn.XLOOKUP(I156,calculations!$t:$t,calculations!$s:$s)</f>
        <v>#VALUE!</v>
      </c>
      <c r="E156" s="0" t="str">
        <f aca="false">_xlfn.XLOOKUP(I156,Mapping!$T:$T,Mapping!$Q:$Q)</f>
        <v>COBA27</v>
      </c>
      <c r="F156" s="1" t="n">
        <v>46203</v>
      </c>
      <c r="G156" s="0" t="n">
        <v>61026</v>
      </c>
      <c r="H156" s="0" t="n">
        <v>61026</v>
      </c>
      <c r="I156" s="0" t="n">
        <v>100231</v>
      </c>
      <c r="J156" s="0" t="s">
        <v>525</v>
      </c>
      <c r="K156" s="0" t="s">
        <v>398</v>
      </c>
      <c r="L156" s="0" t="s">
        <v>398</v>
      </c>
      <c r="M156" s="0" t="s">
        <v>184</v>
      </c>
      <c r="N156" s="0" t="n">
        <v>118079000</v>
      </c>
      <c r="O156" s="0" t="n">
        <v>118079000</v>
      </c>
      <c r="P156" s="0" t="s">
        <v>185</v>
      </c>
      <c r="Q156" s="0" t="s">
        <v>227</v>
      </c>
      <c r="R156" s="0" t="s">
        <v>187</v>
      </c>
      <c r="S156" s="0" t="s">
        <v>526</v>
      </c>
      <c r="T156" s="0" t="s">
        <v>189</v>
      </c>
      <c r="U156" s="0" t="s">
        <v>367</v>
      </c>
      <c r="V156" s="0" t="s">
        <v>368</v>
      </c>
      <c r="W156" s="0" t="s">
        <v>246</v>
      </c>
      <c r="X156" s="0" t="s">
        <v>527</v>
      </c>
      <c r="Y156" s="0" t="n">
        <v>10.9</v>
      </c>
      <c r="Z156" s="0" t="s">
        <v>185</v>
      </c>
      <c r="AA156" s="0" t="n">
        <v>1</v>
      </c>
      <c r="AB156" s="0" t="s">
        <v>187</v>
      </c>
      <c r="AC156" s="0" t="n">
        <v>118652000</v>
      </c>
      <c r="AD156" s="0" t="n">
        <v>118652000</v>
      </c>
      <c r="AE156" s="0" t="n">
        <v>118652000</v>
      </c>
      <c r="AF156" s="0" t="n">
        <v>0.9952</v>
      </c>
      <c r="AG156" s="0" t="n">
        <v>118079000</v>
      </c>
      <c r="AH156" s="0" t="n">
        <v>118079000</v>
      </c>
      <c r="AI156" s="0" t="n">
        <v>573000</v>
      </c>
      <c r="AJ156" s="0" t="n">
        <v>118652000</v>
      </c>
      <c r="AK156" s="0" t="n">
        <v>118079000</v>
      </c>
      <c r="AL156" s="0" t="n">
        <v>118079000</v>
      </c>
      <c r="AM156" s="0" t="s">
        <v>194</v>
      </c>
      <c r="AN156" s="0" t="n">
        <v>5.8</v>
      </c>
      <c r="AO156" s="0" t="n">
        <v>4.239</v>
      </c>
      <c r="AP156" s="0" t="n">
        <v>5.057</v>
      </c>
      <c r="AQ156" s="0" t="n">
        <v>100</v>
      </c>
      <c r="AR156" s="0" t="n">
        <v>100</v>
      </c>
      <c r="AS156" s="1" t="n">
        <v>45543</v>
      </c>
      <c r="AT156" s="1" t="n">
        <v>54309</v>
      </c>
      <c r="AU156" s="1" t="n">
        <v>46295</v>
      </c>
      <c r="AV156" s="0" t="s">
        <v>528</v>
      </c>
      <c r="AW156" s="0" t="s">
        <v>529</v>
      </c>
      <c r="AX156" s="0" t="s">
        <v>187</v>
      </c>
      <c r="AY156" s="0" t="s">
        <v>530</v>
      </c>
      <c r="AZ156" s="0" t="s">
        <v>531</v>
      </c>
      <c r="BA156" s="0" t="s">
        <v>368</v>
      </c>
      <c r="BB156" s="0" t="s">
        <v>529</v>
      </c>
      <c r="BC156" s="0" t="s">
        <v>532</v>
      </c>
      <c r="BI156" s="0" t="n">
        <v>118652000</v>
      </c>
      <c r="BJ156" s="0" t="n">
        <v>118652000</v>
      </c>
      <c r="BK156" s="0" t="s">
        <v>200</v>
      </c>
      <c r="BL156" s="0" t="s">
        <v>201</v>
      </c>
      <c r="BN156" s="0" t="n">
        <v>14.4</v>
      </c>
      <c r="BO156" s="0" t="n">
        <v>22.19</v>
      </c>
      <c r="BP156" s="0" t="s">
        <v>202</v>
      </c>
      <c r="BQ156" s="0" t="s">
        <v>187</v>
      </c>
      <c r="BR156" s="0" t="s">
        <v>203</v>
      </c>
      <c r="BS156" s="0" t="s">
        <v>533</v>
      </c>
      <c r="BT156" s="0" t="s">
        <v>224</v>
      </c>
      <c r="BU156" s="0" t="s">
        <v>269</v>
      </c>
      <c r="BW156" s="0" t="s">
        <v>257</v>
      </c>
      <c r="BX156" s="0" t="s">
        <v>217</v>
      </c>
      <c r="BY156" s="0" t="n">
        <v>260</v>
      </c>
      <c r="BZ156" s="0" t="n">
        <v>260</v>
      </c>
      <c r="CB156" s="0" t="s">
        <v>208</v>
      </c>
      <c r="CC156" s="0" t="s">
        <v>256</v>
      </c>
      <c r="CD156" s="0" t="s">
        <v>256</v>
      </c>
      <c r="CE156" s="0" t="s">
        <v>211</v>
      </c>
      <c r="CF156" s="0" t="s">
        <v>211</v>
      </c>
      <c r="CG156" s="0" t="s">
        <v>211</v>
      </c>
      <c r="CH156" s="1" t="n">
        <v>46112</v>
      </c>
      <c r="CI156" s="0" t="n">
        <v>1.2</v>
      </c>
      <c r="CJ156" s="0" t="n">
        <v>2.06</v>
      </c>
      <c r="CK156" s="0" t="n">
        <v>2.16</v>
      </c>
      <c r="CL156" s="0" t="s">
        <v>212</v>
      </c>
      <c r="DA156" s="0" t="n">
        <v>0.71</v>
      </c>
      <c r="DC156" s="0" t="n">
        <v>0.85</v>
      </c>
      <c r="DD156" s="0" t="s">
        <v>212</v>
      </c>
      <c r="ED156" s="0" t="s">
        <v>212</v>
      </c>
      <c r="EE156" s="0" t="n">
        <v>1.05</v>
      </c>
      <c r="EI156" s="0" t="n">
        <v>1.45</v>
      </c>
      <c r="FQ156" s="0" t="n">
        <v>94657907</v>
      </c>
    </row>
    <row r="157" customFormat="false" ht="15" hidden="false" customHeight="false" outlineLevel="0" collapsed="false">
      <c r="B157" s="0" t="str">
        <f aca="false">C157&amp;"x"&amp;I157</f>
        <v>61014x100231</v>
      </c>
      <c r="C157" s="0" t="n">
        <f aca="false">IF(G157="SINGLE",H157,G157)</f>
        <v>61014</v>
      </c>
      <c r="D157" s="0" t="e">
        <f aca="false">_xlfn.XLOOKUP(I157,calculations!$t:$t,calculations!$s:$s)</f>
        <v>#VALUE!</v>
      </c>
      <c r="E157" s="0" t="str">
        <f aca="false">_xlfn.XLOOKUP(I157,Mapping!$T:$T,Mapping!$Q:$Q)</f>
        <v>COBA27</v>
      </c>
      <c r="F157" s="1" t="n">
        <v>46203</v>
      </c>
      <c r="G157" s="0" t="n">
        <v>61014</v>
      </c>
      <c r="H157" s="0" t="n">
        <v>61014</v>
      </c>
      <c r="I157" s="0" t="n">
        <v>100231</v>
      </c>
      <c r="J157" s="0" t="s">
        <v>525</v>
      </c>
      <c r="K157" s="0" t="s">
        <v>241</v>
      </c>
      <c r="L157" s="0" t="s">
        <v>241</v>
      </c>
      <c r="M157" s="0" t="s">
        <v>184</v>
      </c>
      <c r="N157" s="0" t="n">
        <v>91078000</v>
      </c>
      <c r="O157" s="0" t="n">
        <v>91078000</v>
      </c>
      <c r="P157" s="0" t="s">
        <v>185</v>
      </c>
      <c r="Q157" s="0" t="s">
        <v>227</v>
      </c>
      <c r="R157" s="0" t="s">
        <v>187</v>
      </c>
      <c r="S157" s="0" t="s">
        <v>526</v>
      </c>
      <c r="T157" s="0" t="s">
        <v>189</v>
      </c>
      <c r="U157" s="0" t="s">
        <v>367</v>
      </c>
      <c r="V157" s="0" t="s">
        <v>368</v>
      </c>
      <c r="W157" s="0" t="s">
        <v>246</v>
      </c>
      <c r="X157" s="0" t="s">
        <v>527</v>
      </c>
      <c r="Y157" s="0" t="n">
        <v>10.9</v>
      </c>
      <c r="Z157" s="0" t="s">
        <v>185</v>
      </c>
      <c r="AA157" s="0" t="n">
        <v>1</v>
      </c>
      <c r="AB157" s="0" t="s">
        <v>187</v>
      </c>
      <c r="AC157" s="0" t="n">
        <v>91520000</v>
      </c>
      <c r="AD157" s="0" t="n">
        <v>91520000</v>
      </c>
      <c r="AE157" s="0" t="n">
        <v>91520000</v>
      </c>
      <c r="AF157" s="0" t="n">
        <v>0.9952</v>
      </c>
      <c r="AG157" s="0" t="n">
        <v>91078000</v>
      </c>
      <c r="AH157" s="0" t="n">
        <v>91078000</v>
      </c>
      <c r="AI157" s="0" t="n">
        <v>442000</v>
      </c>
      <c r="AJ157" s="0" t="n">
        <v>91520000</v>
      </c>
      <c r="AK157" s="0" t="n">
        <v>91078000</v>
      </c>
      <c r="AL157" s="0" t="n">
        <v>91078000</v>
      </c>
      <c r="AM157" s="0" t="s">
        <v>194</v>
      </c>
      <c r="AN157" s="0" t="n">
        <v>4.796</v>
      </c>
      <c r="AO157" s="0" t="n">
        <v>5.308</v>
      </c>
      <c r="AP157" s="0" t="n">
        <v>2.642</v>
      </c>
      <c r="AQ157" s="0" t="n">
        <v>100</v>
      </c>
      <c r="AR157" s="0" t="n">
        <v>100</v>
      </c>
      <c r="AS157" s="1" t="n">
        <v>45543</v>
      </c>
      <c r="AT157" s="1" t="n">
        <v>54309</v>
      </c>
      <c r="AU157" s="1" t="n">
        <v>46295</v>
      </c>
      <c r="AV157" s="0" t="s">
        <v>528</v>
      </c>
      <c r="AW157" s="0" t="s">
        <v>529</v>
      </c>
      <c r="AX157" s="0" t="s">
        <v>187</v>
      </c>
      <c r="AY157" s="0" t="s">
        <v>530</v>
      </c>
      <c r="AZ157" s="0" t="s">
        <v>531</v>
      </c>
      <c r="BA157" s="0" t="s">
        <v>368</v>
      </c>
      <c r="BB157" s="0" t="s">
        <v>529</v>
      </c>
      <c r="BC157" s="0" t="s">
        <v>532</v>
      </c>
      <c r="BI157" s="0" t="n">
        <v>91520000</v>
      </c>
      <c r="BJ157" s="0" t="n">
        <v>91520000</v>
      </c>
      <c r="BK157" s="0" t="s">
        <v>200</v>
      </c>
      <c r="BL157" s="0" t="s">
        <v>201</v>
      </c>
      <c r="BN157" s="0" t="n">
        <v>14.4</v>
      </c>
      <c r="BO157" s="0" t="n">
        <v>22.19</v>
      </c>
      <c r="BP157" s="0" t="s">
        <v>202</v>
      </c>
      <c r="BQ157" s="0" t="s">
        <v>187</v>
      </c>
      <c r="BR157" s="0" t="s">
        <v>203</v>
      </c>
      <c r="BS157" s="0" t="s">
        <v>533</v>
      </c>
      <c r="BT157" s="0" t="s">
        <v>224</v>
      </c>
      <c r="BU157" s="0" t="s">
        <v>255</v>
      </c>
      <c r="BW157" s="0" t="s">
        <v>257</v>
      </c>
      <c r="BX157" s="0" t="s">
        <v>207</v>
      </c>
      <c r="BY157" s="0" t="n">
        <v>260</v>
      </c>
      <c r="BZ157" s="0" t="n">
        <v>260</v>
      </c>
      <c r="CB157" s="0" t="s">
        <v>208</v>
      </c>
      <c r="CC157" s="0" t="s">
        <v>256</v>
      </c>
      <c r="CD157" s="0" t="s">
        <v>256</v>
      </c>
      <c r="CE157" s="0" t="s">
        <v>211</v>
      </c>
      <c r="CF157" s="0" t="s">
        <v>211</v>
      </c>
      <c r="CG157" s="0" t="s">
        <v>211</v>
      </c>
      <c r="CH157" s="1" t="n">
        <v>46112</v>
      </c>
      <c r="CI157" s="0" t="n">
        <v>1.2</v>
      </c>
      <c r="CJ157" s="0" t="n">
        <v>1.8</v>
      </c>
      <c r="CK157" s="0" t="n">
        <v>1.89</v>
      </c>
      <c r="CL157" s="0" t="s">
        <v>212</v>
      </c>
      <c r="DA157" s="0" t="n">
        <v>0.81</v>
      </c>
      <c r="DC157" s="0" t="n">
        <v>0.85</v>
      </c>
      <c r="DD157" s="0" t="s">
        <v>213</v>
      </c>
      <c r="ED157" s="0" t="s">
        <v>212</v>
      </c>
      <c r="EE157" s="0" t="n">
        <v>1.05</v>
      </c>
      <c r="EI157" s="0" t="n">
        <v>1.98</v>
      </c>
      <c r="FQ157" s="0" t="n">
        <v>96056562</v>
      </c>
    </row>
    <row r="158" customFormat="false" ht="15" hidden="false" customHeight="false" outlineLevel="0" collapsed="false">
      <c r="B158" s="0" t="str">
        <f aca="false">C158&amp;"x"&amp;I158</f>
        <v>61016x100232</v>
      </c>
      <c r="C158" s="0" t="n">
        <f aca="false">IF(G158="SINGLE",H158,G158)</f>
        <v>61016</v>
      </c>
      <c r="D158" s="0" t="e">
        <f aca="false">_xlfn.XLOOKUP(I158,calculations!$t:$t,calculations!$s:$s)</f>
        <v>#VALUE!</v>
      </c>
      <c r="E158" s="0" t="str">
        <f aca="false">_xlfn.XLOOKUP(I158,Mapping!$T:$T,Mapping!$Q:$Q)</f>
        <v>DUNE28</v>
      </c>
      <c r="F158" s="1" t="n">
        <v>46203</v>
      </c>
      <c r="G158" s="0" t="n">
        <v>61016</v>
      </c>
      <c r="H158" s="0" t="n">
        <v>61016</v>
      </c>
      <c r="I158" s="0" t="n">
        <v>100232</v>
      </c>
      <c r="J158" s="0" t="s">
        <v>534</v>
      </c>
      <c r="K158" s="0" t="s">
        <v>343</v>
      </c>
      <c r="L158" s="0" t="s">
        <v>343</v>
      </c>
      <c r="M158" s="0" t="s">
        <v>184</v>
      </c>
      <c r="N158" s="0" t="n">
        <v>49638000</v>
      </c>
      <c r="O158" s="0" t="n">
        <v>49638000</v>
      </c>
      <c r="P158" s="0" t="s">
        <v>185</v>
      </c>
      <c r="Q158" s="0" t="s">
        <v>227</v>
      </c>
      <c r="R158" s="0" t="s">
        <v>187</v>
      </c>
      <c r="S158" s="0" t="s">
        <v>535</v>
      </c>
      <c r="T158" s="0" t="s">
        <v>189</v>
      </c>
      <c r="U158" s="0" t="s">
        <v>367</v>
      </c>
      <c r="V158" s="0" t="s">
        <v>368</v>
      </c>
      <c r="W158" s="0" t="s">
        <v>347</v>
      </c>
      <c r="X158" s="0" t="s">
        <v>536</v>
      </c>
      <c r="Y158" s="0" t="n">
        <v>7.2</v>
      </c>
      <c r="Z158" s="0" t="s">
        <v>185</v>
      </c>
      <c r="AA158" s="0" t="n">
        <v>1</v>
      </c>
      <c r="AB158" s="0" t="s">
        <v>187</v>
      </c>
      <c r="AC158" s="0" t="n">
        <v>50063000</v>
      </c>
      <c r="AD158" s="0" t="n">
        <v>50063000</v>
      </c>
      <c r="AE158" s="0" t="n">
        <v>50063000</v>
      </c>
      <c r="AF158" s="0" t="n">
        <v>0.9915</v>
      </c>
      <c r="AG158" s="0" t="n">
        <v>49638000</v>
      </c>
      <c r="AH158" s="0" t="n">
        <v>49638000</v>
      </c>
      <c r="AI158" s="0" t="n">
        <v>425000</v>
      </c>
      <c r="AJ158" s="0" t="n">
        <v>50063000</v>
      </c>
      <c r="AK158" s="0" t="n">
        <v>49638000</v>
      </c>
      <c r="AL158" s="0" t="n">
        <v>49638000</v>
      </c>
      <c r="AM158" s="0" t="s">
        <v>194</v>
      </c>
      <c r="AN158" s="0" t="n">
        <v>4.814</v>
      </c>
      <c r="AO158" s="0" t="n">
        <v>4.066</v>
      </c>
      <c r="AP158" s="0" t="n">
        <v>5.496</v>
      </c>
      <c r="AQ158" s="0" t="n">
        <v>100</v>
      </c>
      <c r="AR158" s="0" t="n">
        <v>100</v>
      </c>
      <c r="AS158" s="1" t="n">
        <v>45267</v>
      </c>
      <c r="AT158" s="1" t="n">
        <v>50928</v>
      </c>
      <c r="AU158" s="1" t="n">
        <v>46295</v>
      </c>
      <c r="AV158" s="0" t="s">
        <v>537</v>
      </c>
      <c r="AW158" s="0" t="s">
        <v>249</v>
      </c>
      <c r="AX158" s="0" t="s">
        <v>187</v>
      </c>
      <c r="AY158" s="0" t="s">
        <v>538</v>
      </c>
      <c r="AZ158" s="0" t="s">
        <v>539</v>
      </c>
      <c r="BA158" s="0" t="s">
        <v>368</v>
      </c>
      <c r="BB158" s="0" t="s">
        <v>249</v>
      </c>
      <c r="BC158" s="0" t="s">
        <v>540</v>
      </c>
      <c r="BI158" s="0" t="n">
        <v>50063000</v>
      </c>
      <c r="BJ158" s="0" t="n">
        <v>50063000</v>
      </c>
      <c r="BK158" s="0" t="s">
        <v>200</v>
      </c>
      <c r="BL158" s="0" t="s">
        <v>201</v>
      </c>
      <c r="BN158" s="0" t="n">
        <v>9.3</v>
      </c>
      <c r="BO158" s="0" t="n">
        <v>12.94</v>
      </c>
      <c r="BP158" s="0" t="s">
        <v>202</v>
      </c>
      <c r="BQ158" s="0" t="s">
        <v>187</v>
      </c>
      <c r="BR158" s="0" t="s">
        <v>203</v>
      </c>
      <c r="BS158" s="0" t="s">
        <v>541</v>
      </c>
      <c r="BT158" s="0" t="s">
        <v>255</v>
      </c>
      <c r="BU158" s="0" t="s">
        <v>224</v>
      </c>
      <c r="BW158" s="0" t="s">
        <v>206</v>
      </c>
      <c r="BX158" s="0" t="s">
        <v>207</v>
      </c>
      <c r="BY158" s="0" t="n">
        <v>255</v>
      </c>
      <c r="BZ158" s="0" t="n">
        <v>255</v>
      </c>
      <c r="CB158" s="0" t="s">
        <v>208</v>
      </c>
      <c r="CC158" s="0" t="s">
        <v>239</v>
      </c>
      <c r="CD158" s="0" t="s">
        <v>239</v>
      </c>
      <c r="CE158" s="0" t="s">
        <v>211</v>
      </c>
      <c r="CF158" s="0" t="s">
        <v>211</v>
      </c>
      <c r="CG158" s="0" t="s">
        <v>211</v>
      </c>
      <c r="CH158" s="1" t="n">
        <v>46112</v>
      </c>
      <c r="CI158" s="0" t="n">
        <v>1.2</v>
      </c>
      <c r="CJ158" s="0" t="n">
        <v>2.17</v>
      </c>
      <c r="CK158" s="0" t="n">
        <v>2.28</v>
      </c>
      <c r="CL158" s="0" t="s">
        <v>212</v>
      </c>
      <c r="DA158" s="0" t="n">
        <v>0.53</v>
      </c>
      <c r="DC158" s="0" t="n">
        <v>0.85</v>
      </c>
      <c r="DD158" s="0" t="s">
        <v>212</v>
      </c>
      <c r="ED158" s="0" t="s">
        <v>212</v>
      </c>
      <c r="EE158" s="0" t="n">
        <v>1.05</v>
      </c>
      <c r="EI158" s="0" t="n">
        <v>1.51</v>
      </c>
      <c r="FQ158" s="0" t="n">
        <v>58272319</v>
      </c>
    </row>
    <row r="159" customFormat="false" ht="15" hidden="false" customHeight="false" outlineLevel="0" collapsed="false">
      <c r="B159" s="0" t="str">
        <f aca="false">C159&amp;"x"&amp;I159</f>
        <v>61008x100232</v>
      </c>
      <c r="C159" s="0" t="n">
        <f aca="false">IF(G159="SINGLE",H159,G159)</f>
        <v>61008</v>
      </c>
      <c r="D159" s="0" t="e">
        <f aca="false">_xlfn.XLOOKUP(I159,calculations!$t:$t,calculations!$s:$s)</f>
        <v>#VALUE!</v>
      </c>
      <c r="E159" s="0" t="str">
        <f aca="false">_xlfn.XLOOKUP(I159,Mapping!$T:$T,Mapping!$Q:$Q)</f>
        <v>DUNE28</v>
      </c>
      <c r="F159" s="1" t="n">
        <v>46203</v>
      </c>
      <c r="G159" s="0" t="n">
        <v>61008</v>
      </c>
      <c r="H159" s="0" t="n">
        <v>61008</v>
      </c>
      <c r="I159" s="0" t="n">
        <v>100232</v>
      </c>
      <c r="J159" s="0" t="s">
        <v>534</v>
      </c>
      <c r="K159" s="0" t="s">
        <v>277</v>
      </c>
      <c r="L159" s="0" t="s">
        <v>277</v>
      </c>
      <c r="M159" s="0" t="s">
        <v>184</v>
      </c>
      <c r="N159" s="0" t="n">
        <v>54940000</v>
      </c>
      <c r="O159" s="0" t="n">
        <v>54940000</v>
      </c>
      <c r="P159" s="0" t="s">
        <v>185</v>
      </c>
      <c r="Q159" s="0" t="s">
        <v>227</v>
      </c>
      <c r="R159" s="0" t="s">
        <v>187</v>
      </c>
      <c r="S159" s="0" t="s">
        <v>535</v>
      </c>
      <c r="T159" s="0" t="s">
        <v>189</v>
      </c>
      <c r="U159" s="0" t="s">
        <v>367</v>
      </c>
      <c r="V159" s="0" t="s">
        <v>368</v>
      </c>
      <c r="W159" s="0" t="s">
        <v>347</v>
      </c>
      <c r="X159" s="0" t="s">
        <v>536</v>
      </c>
      <c r="Y159" s="0" t="n">
        <v>7.2</v>
      </c>
      <c r="Z159" s="0" t="s">
        <v>185</v>
      </c>
      <c r="AA159" s="0" t="n">
        <v>1</v>
      </c>
      <c r="AB159" s="0" t="s">
        <v>187</v>
      </c>
      <c r="AC159" s="0" t="n">
        <v>55410000</v>
      </c>
      <c r="AD159" s="0" t="n">
        <v>55410000</v>
      </c>
      <c r="AE159" s="0" t="n">
        <v>55410000</v>
      </c>
      <c r="AF159" s="0" t="n">
        <v>0.9915</v>
      </c>
      <c r="AG159" s="0" t="n">
        <v>54940000</v>
      </c>
      <c r="AH159" s="0" t="n">
        <v>54940000</v>
      </c>
      <c r="AI159" s="0" t="n">
        <v>470000</v>
      </c>
      <c r="AJ159" s="0" t="n">
        <v>55410000</v>
      </c>
      <c r="AK159" s="0" t="n">
        <v>54940000</v>
      </c>
      <c r="AL159" s="0" t="n">
        <v>54940000</v>
      </c>
      <c r="AM159" s="0" t="s">
        <v>194</v>
      </c>
      <c r="AN159" s="0" t="n">
        <v>4.805</v>
      </c>
      <c r="AO159" s="0" t="n">
        <v>2.978</v>
      </c>
      <c r="AP159" s="0" t="n">
        <v>5.233</v>
      </c>
      <c r="AQ159" s="0" t="n">
        <v>100</v>
      </c>
      <c r="AR159" s="0" t="n">
        <v>100</v>
      </c>
      <c r="AS159" s="1" t="n">
        <v>45267</v>
      </c>
      <c r="AT159" s="1" t="n">
        <v>50928</v>
      </c>
      <c r="AU159" s="1" t="n">
        <v>46295</v>
      </c>
      <c r="AV159" s="0" t="s">
        <v>537</v>
      </c>
      <c r="AW159" s="0" t="s">
        <v>249</v>
      </c>
      <c r="AX159" s="0" t="s">
        <v>187</v>
      </c>
      <c r="AY159" s="0" t="s">
        <v>538</v>
      </c>
      <c r="AZ159" s="0" t="s">
        <v>539</v>
      </c>
      <c r="BA159" s="0" t="s">
        <v>368</v>
      </c>
      <c r="BB159" s="0" t="s">
        <v>249</v>
      </c>
      <c r="BC159" s="0" t="s">
        <v>540</v>
      </c>
      <c r="BI159" s="0" t="n">
        <v>55410000</v>
      </c>
      <c r="BJ159" s="0" t="n">
        <v>55410000</v>
      </c>
      <c r="BK159" s="0" t="s">
        <v>200</v>
      </c>
      <c r="BL159" s="0" t="s">
        <v>201</v>
      </c>
      <c r="BN159" s="0" t="n">
        <v>9.3</v>
      </c>
      <c r="BO159" s="0" t="n">
        <v>12.94</v>
      </c>
      <c r="BP159" s="0" t="s">
        <v>202</v>
      </c>
      <c r="BQ159" s="0" t="s">
        <v>187</v>
      </c>
      <c r="BR159" s="0" t="s">
        <v>203</v>
      </c>
      <c r="BS159" s="0" t="s">
        <v>541</v>
      </c>
      <c r="BT159" s="0" t="s">
        <v>255</v>
      </c>
      <c r="BU159" s="0" t="s">
        <v>216</v>
      </c>
      <c r="BW159" s="0" t="s">
        <v>257</v>
      </c>
      <c r="BX159" s="0" t="s">
        <v>217</v>
      </c>
      <c r="BY159" s="0" t="n">
        <v>255</v>
      </c>
      <c r="BZ159" s="0" t="n">
        <v>255</v>
      </c>
      <c r="CB159" s="0" t="s">
        <v>208</v>
      </c>
      <c r="CC159" s="0" t="s">
        <v>239</v>
      </c>
      <c r="CD159" s="0" t="s">
        <v>239</v>
      </c>
      <c r="CE159" s="0" t="s">
        <v>211</v>
      </c>
      <c r="CF159" s="0" t="s">
        <v>211</v>
      </c>
      <c r="CG159" s="0" t="s">
        <v>211</v>
      </c>
      <c r="CH159" s="1" t="n">
        <v>46112</v>
      </c>
      <c r="CI159" s="0" t="n">
        <v>1.2</v>
      </c>
      <c r="CJ159" s="0" t="n">
        <v>2.42</v>
      </c>
      <c r="CK159" s="0" t="n">
        <v>2.54</v>
      </c>
      <c r="CL159" s="0" t="s">
        <v>212</v>
      </c>
      <c r="DA159" s="0" t="n">
        <v>0.52</v>
      </c>
      <c r="DC159" s="0" t="n">
        <v>0.85</v>
      </c>
      <c r="DD159" s="0" t="s">
        <v>212</v>
      </c>
      <c r="ED159" s="0" t="s">
        <v>212</v>
      </c>
      <c r="EE159" s="0" t="n">
        <v>1.05</v>
      </c>
      <c r="EI159" s="0" t="n">
        <v>1.37</v>
      </c>
      <c r="FQ159" s="0" t="n">
        <v>58776302</v>
      </c>
    </row>
    <row r="160" customFormat="false" ht="15" hidden="false" customHeight="false" outlineLevel="0" collapsed="false">
      <c r="B160" s="0" t="str">
        <f aca="false">C160&amp;"x"&amp;I160</f>
        <v>61021x100233</v>
      </c>
      <c r="C160" s="0" t="n">
        <f aca="false">IF(G160="SINGLE",H160,G160)</f>
        <v>61021</v>
      </c>
      <c r="D160" s="0" t="e">
        <f aca="false">_xlfn.XLOOKUP(I160,calculations!$t:$t,calculations!$s:$s)</f>
        <v>#VALUE!</v>
      </c>
      <c r="E160" s="0" t="str">
        <f aca="false">_xlfn.XLOOKUP(I160,Mapping!$T:$T,Mapping!$Q:$Q)</f>
        <v>ECHO29</v>
      </c>
      <c r="F160" s="1" t="n">
        <v>46203</v>
      </c>
      <c r="G160" s="0" t="n">
        <v>61021</v>
      </c>
      <c r="H160" s="0" t="n">
        <v>61021</v>
      </c>
      <c r="I160" s="0" t="n">
        <v>100233</v>
      </c>
      <c r="J160" s="0" t="s">
        <v>542</v>
      </c>
      <c r="K160" s="0" t="s">
        <v>214</v>
      </c>
      <c r="L160" s="0" t="s">
        <v>214</v>
      </c>
      <c r="M160" s="0" t="s">
        <v>184</v>
      </c>
      <c r="N160" s="0" t="n">
        <v>35795000</v>
      </c>
      <c r="O160" s="0" t="n">
        <v>35795000</v>
      </c>
      <c r="P160" s="0" t="s">
        <v>185</v>
      </c>
      <c r="Q160" s="0" t="s">
        <v>227</v>
      </c>
      <c r="R160" s="0" t="s">
        <v>187</v>
      </c>
      <c r="S160" s="0" t="s">
        <v>543</v>
      </c>
      <c r="T160" s="0" t="s">
        <v>189</v>
      </c>
      <c r="U160" s="0" t="s">
        <v>307</v>
      </c>
      <c r="V160" s="0" t="s">
        <v>308</v>
      </c>
      <c r="W160" s="0" t="s">
        <v>544</v>
      </c>
      <c r="X160" s="0" t="s">
        <v>545</v>
      </c>
      <c r="Y160" s="0" t="n">
        <v>8.1</v>
      </c>
      <c r="Z160" s="0" t="s">
        <v>185</v>
      </c>
      <c r="AA160" s="0" t="n">
        <v>1</v>
      </c>
      <c r="AB160" s="0" t="s">
        <v>187</v>
      </c>
      <c r="AC160" s="0" t="n">
        <v>38790000</v>
      </c>
      <c r="AD160" s="0" t="n">
        <v>38790000</v>
      </c>
      <c r="AE160" s="0" t="n">
        <v>38790000</v>
      </c>
      <c r="AF160" s="0" t="n">
        <v>0.9228</v>
      </c>
      <c r="AG160" s="0" t="n">
        <v>35795000</v>
      </c>
      <c r="AH160" s="0" t="n">
        <v>35795000</v>
      </c>
      <c r="AI160" s="0" t="n">
        <v>2995000</v>
      </c>
      <c r="AJ160" s="0" t="n">
        <v>38790000</v>
      </c>
      <c r="AK160" s="0" t="n">
        <v>35795000</v>
      </c>
      <c r="AL160" s="0" t="n">
        <v>35795000</v>
      </c>
      <c r="AN160" s="0" t="n">
        <v>4.415</v>
      </c>
      <c r="AO160" s="0" t="n">
        <v>2.633</v>
      </c>
      <c r="AP160" s="0" t="n">
        <v>4.551</v>
      </c>
      <c r="AQ160" s="0" t="n">
        <v>100</v>
      </c>
      <c r="AR160" s="0" t="n">
        <v>100</v>
      </c>
      <c r="AS160" s="1" t="n">
        <v>43093</v>
      </c>
      <c r="AT160" s="1" t="n">
        <v>47111</v>
      </c>
      <c r="AU160" s="1" t="n">
        <v>46295</v>
      </c>
      <c r="AV160" s="0" t="s">
        <v>546</v>
      </c>
      <c r="AW160" s="0" t="s">
        <v>327</v>
      </c>
      <c r="AX160" s="0" t="s">
        <v>187</v>
      </c>
      <c r="AY160" s="0" t="s">
        <v>547</v>
      </c>
      <c r="AZ160" s="0" t="s">
        <v>548</v>
      </c>
      <c r="BA160" s="0" t="s">
        <v>308</v>
      </c>
      <c r="BB160" s="0" t="s">
        <v>327</v>
      </c>
      <c r="BC160" s="0" t="s">
        <v>549</v>
      </c>
      <c r="BI160" s="0" t="n">
        <v>38790000</v>
      </c>
      <c r="BJ160" s="0" t="n">
        <v>38790000</v>
      </c>
      <c r="BK160" s="0" t="s">
        <v>253</v>
      </c>
      <c r="BL160" s="0" t="s">
        <v>201</v>
      </c>
      <c r="BN160" s="0" t="n">
        <v>6.6</v>
      </c>
      <c r="BO160" s="0" t="n">
        <v>2.49</v>
      </c>
      <c r="BP160" s="0" t="s">
        <v>187</v>
      </c>
      <c r="BQ160" s="0" t="s">
        <v>187</v>
      </c>
      <c r="BR160" s="0" t="s">
        <v>203</v>
      </c>
      <c r="BS160" s="0" t="s">
        <v>550</v>
      </c>
      <c r="BT160" s="0" t="s">
        <v>205</v>
      </c>
      <c r="BU160" s="0" t="s">
        <v>216</v>
      </c>
      <c r="BW160" s="0" t="s">
        <v>257</v>
      </c>
      <c r="BX160" s="0" t="s">
        <v>217</v>
      </c>
      <c r="BY160" s="0" t="n">
        <v>270</v>
      </c>
      <c r="BZ160" s="0" t="n">
        <v>270</v>
      </c>
      <c r="CC160" s="0" t="s">
        <v>289</v>
      </c>
      <c r="CD160" s="0" t="s">
        <v>289</v>
      </c>
      <c r="CE160" s="0" t="s">
        <v>211</v>
      </c>
      <c r="CF160" s="0" t="s">
        <v>211</v>
      </c>
      <c r="CG160" s="0" t="s">
        <v>211</v>
      </c>
      <c r="CH160" s="1" t="n">
        <v>46112</v>
      </c>
      <c r="CI160" s="0" t="n">
        <v>1.2</v>
      </c>
      <c r="CJ160" s="0" t="n">
        <v>2.81</v>
      </c>
      <c r="CK160" s="0" t="n">
        <v>2.95</v>
      </c>
      <c r="CL160" s="0" t="s">
        <v>212</v>
      </c>
      <c r="DA160" s="0" t="n">
        <v>0.57</v>
      </c>
      <c r="DC160" s="0" t="n">
        <v>0.85</v>
      </c>
      <c r="DD160" s="0" t="s">
        <v>212</v>
      </c>
      <c r="ED160" s="0" t="s">
        <v>212</v>
      </c>
      <c r="EE160" s="0" t="n">
        <v>1.05</v>
      </c>
      <c r="EI160" s="0" t="n">
        <v>1.82</v>
      </c>
      <c r="FQ160" s="0" t="n">
        <v>62894602</v>
      </c>
    </row>
    <row r="161" customFormat="false" ht="15" hidden="false" customHeight="false" outlineLevel="0" collapsed="false">
      <c r="B161" s="0" t="str">
        <f aca="false">C161&amp;"x"&amp;I161</f>
        <v>61025x100233</v>
      </c>
      <c r="C161" s="0" t="n">
        <f aca="false">IF(G161="SINGLE",H161,G161)</f>
        <v>61025</v>
      </c>
      <c r="D161" s="0" t="e">
        <f aca="false">_xlfn.XLOOKUP(I161,calculations!$t:$t,calculations!$s:$s)</f>
        <v>#VALUE!</v>
      </c>
      <c r="E161" s="0" t="str">
        <f aca="false">_xlfn.XLOOKUP(I161,Mapping!$T:$T,Mapping!$Q:$Q)</f>
        <v>ECHO29</v>
      </c>
      <c r="F161" s="1" t="n">
        <v>46203</v>
      </c>
      <c r="G161" s="0" t="n">
        <v>61025</v>
      </c>
      <c r="H161" s="0" t="n">
        <v>61025</v>
      </c>
      <c r="I161" s="0" t="n">
        <v>100233</v>
      </c>
      <c r="J161" s="0" t="s">
        <v>542</v>
      </c>
      <c r="K161" s="0" t="s">
        <v>319</v>
      </c>
      <c r="L161" s="0" t="s">
        <v>319</v>
      </c>
      <c r="M161" s="0" t="s">
        <v>184</v>
      </c>
      <c r="N161" s="0" t="n">
        <v>20720000</v>
      </c>
      <c r="O161" s="0" t="n">
        <v>20720000</v>
      </c>
      <c r="P161" s="0" t="s">
        <v>185</v>
      </c>
      <c r="Q161" s="0" t="s">
        <v>227</v>
      </c>
      <c r="R161" s="0" t="s">
        <v>187</v>
      </c>
      <c r="S161" s="0" t="s">
        <v>543</v>
      </c>
      <c r="T161" s="0" t="s">
        <v>189</v>
      </c>
      <c r="U161" s="0" t="s">
        <v>307</v>
      </c>
      <c r="V161" s="0" t="s">
        <v>308</v>
      </c>
      <c r="W161" s="0" t="s">
        <v>544</v>
      </c>
      <c r="X161" s="0" t="s">
        <v>545</v>
      </c>
      <c r="Y161" s="0" t="n">
        <v>8.1</v>
      </c>
      <c r="Z161" s="0" t="s">
        <v>185</v>
      </c>
      <c r="AA161" s="0" t="n">
        <v>1</v>
      </c>
      <c r="AB161" s="0" t="s">
        <v>187</v>
      </c>
      <c r="AC161" s="0" t="n">
        <v>22454000</v>
      </c>
      <c r="AD161" s="0" t="n">
        <v>22454000</v>
      </c>
      <c r="AE161" s="0" t="n">
        <v>22454000</v>
      </c>
      <c r="AF161" s="0" t="n">
        <v>0.9228</v>
      </c>
      <c r="AG161" s="0" t="n">
        <v>20720000</v>
      </c>
      <c r="AH161" s="0" t="n">
        <v>20720000</v>
      </c>
      <c r="AI161" s="0" t="n">
        <v>1734000</v>
      </c>
      <c r="AJ161" s="0" t="n">
        <v>22454000</v>
      </c>
      <c r="AK161" s="0" t="n">
        <v>20720000</v>
      </c>
      <c r="AL161" s="0" t="n">
        <v>20720000</v>
      </c>
      <c r="AN161" s="0" t="n">
        <v>2.562</v>
      </c>
      <c r="AO161" s="0" t="n">
        <v>6.324</v>
      </c>
      <c r="AP161" s="0" t="n">
        <v>5.471</v>
      </c>
      <c r="AQ161" s="0" t="n">
        <v>100</v>
      </c>
      <c r="AR161" s="0" t="n">
        <v>100</v>
      </c>
      <c r="AS161" s="1" t="n">
        <v>43093</v>
      </c>
      <c r="AT161" s="1" t="n">
        <v>47111</v>
      </c>
      <c r="AU161" s="1" t="n">
        <v>46295</v>
      </c>
      <c r="AV161" s="0" t="s">
        <v>546</v>
      </c>
      <c r="AW161" s="0" t="s">
        <v>327</v>
      </c>
      <c r="AX161" s="0" t="s">
        <v>187</v>
      </c>
      <c r="AY161" s="0" t="s">
        <v>547</v>
      </c>
      <c r="AZ161" s="0" t="s">
        <v>548</v>
      </c>
      <c r="BA161" s="0" t="s">
        <v>308</v>
      </c>
      <c r="BB161" s="0" t="s">
        <v>327</v>
      </c>
      <c r="BC161" s="0" t="s">
        <v>549</v>
      </c>
      <c r="BI161" s="0" t="n">
        <v>22454000</v>
      </c>
      <c r="BJ161" s="0" t="n">
        <v>22454000</v>
      </c>
      <c r="BK161" s="0" t="s">
        <v>253</v>
      </c>
      <c r="BL161" s="0" t="s">
        <v>201</v>
      </c>
      <c r="BN161" s="0" t="n">
        <v>6.6</v>
      </c>
      <c r="BO161" s="0" t="n">
        <v>2.49</v>
      </c>
      <c r="BP161" s="0" t="s">
        <v>187</v>
      </c>
      <c r="BQ161" s="0" t="s">
        <v>187</v>
      </c>
      <c r="BR161" s="0" t="s">
        <v>203</v>
      </c>
      <c r="BS161" s="0" t="s">
        <v>550</v>
      </c>
      <c r="BT161" s="0" t="s">
        <v>205</v>
      </c>
      <c r="BU161" s="0" t="s">
        <v>205</v>
      </c>
      <c r="BW161" s="0" t="s">
        <v>206</v>
      </c>
      <c r="BX161" s="0" t="s">
        <v>217</v>
      </c>
      <c r="BY161" s="0" t="n">
        <v>270</v>
      </c>
      <c r="BZ161" s="0" t="n">
        <v>270</v>
      </c>
      <c r="CC161" s="0" t="s">
        <v>289</v>
      </c>
      <c r="CD161" s="0" t="s">
        <v>289</v>
      </c>
      <c r="CE161" s="0" t="s">
        <v>211</v>
      </c>
      <c r="CF161" s="0" t="s">
        <v>211</v>
      </c>
      <c r="CG161" s="0" t="s">
        <v>211</v>
      </c>
      <c r="CH161" s="1" t="n">
        <v>46112</v>
      </c>
      <c r="CI161" s="0" t="n">
        <v>1.2</v>
      </c>
      <c r="CJ161" s="0" t="n">
        <v>1.58</v>
      </c>
      <c r="CK161" s="0" t="n">
        <v>1.66</v>
      </c>
      <c r="CL161" s="0" t="s">
        <v>212</v>
      </c>
      <c r="DA161" s="0" t="n">
        <v>0.71</v>
      </c>
      <c r="DC161" s="0" t="n">
        <v>0.85</v>
      </c>
      <c r="DD161" s="0" t="s">
        <v>212</v>
      </c>
      <c r="ED161" s="0" t="s">
        <v>212</v>
      </c>
      <c r="EE161" s="0" t="n">
        <v>1.05</v>
      </c>
      <c r="EI161" s="0" t="n">
        <v>1.72</v>
      </c>
      <c r="FQ161" s="0" t="n">
        <v>71058617</v>
      </c>
    </row>
    <row r="162" customFormat="false" ht="15" hidden="false" customHeight="false" outlineLevel="0" collapsed="false">
      <c r="B162" s="0" t="str">
        <f aca="false">C162&amp;"x"&amp;I162</f>
        <v>61026x100233</v>
      </c>
      <c r="C162" s="0" t="n">
        <f aca="false">IF(G162="SINGLE",H162,G162)</f>
        <v>61026</v>
      </c>
      <c r="D162" s="0" t="e">
        <f aca="false">_xlfn.XLOOKUP(I162,calculations!$t:$t,calculations!$s:$s)</f>
        <v>#VALUE!</v>
      </c>
      <c r="E162" s="0" t="str">
        <f aca="false">_xlfn.XLOOKUP(I162,Mapping!$T:$T,Mapping!$Q:$Q)</f>
        <v>ECHO29</v>
      </c>
      <c r="F162" s="1" t="n">
        <v>46203</v>
      </c>
      <c r="G162" s="0" t="n">
        <v>61026</v>
      </c>
      <c r="H162" s="0" t="n">
        <v>61026</v>
      </c>
      <c r="I162" s="0" t="n">
        <v>100233</v>
      </c>
      <c r="J162" s="0" t="s">
        <v>542</v>
      </c>
      <c r="K162" s="0" t="s">
        <v>398</v>
      </c>
      <c r="L162" s="0" t="s">
        <v>398</v>
      </c>
      <c r="M162" s="0" t="s">
        <v>184</v>
      </c>
      <c r="N162" s="0" t="n">
        <v>21803000</v>
      </c>
      <c r="O162" s="0" t="n">
        <v>21803000</v>
      </c>
      <c r="P162" s="0" t="s">
        <v>185</v>
      </c>
      <c r="Q162" s="0" t="s">
        <v>227</v>
      </c>
      <c r="R162" s="0" t="s">
        <v>187</v>
      </c>
      <c r="S162" s="0" t="s">
        <v>543</v>
      </c>
      <c r="T162" s="0" t="s">
        <v>189</v>
      </c>
      <c r="U162" s="0" t="s">
        <v>307</v>
      </c>
      <c r="V162" s="0" t="s">
        <v>308</v>
      </c>
      <c r="W162" s="0" t="s">
        <v>544</v>
      </c>
      <c r="X162" s="0" t="s">
        <v>545</v>
      </c>
      <c r="Y162" s="0" t="n">
        <v>8.1</v>
      </c>
      <c r="Z162" s="0" t="s">
        <v>185</v>
      </c>
      <c r="AA162" s="0" t="n">
        <v>1</v>
      </c>
      <c r="AB162" s="0" t="s">
        <v>187</v>
      </c>
      <c r="AC162" s="0" t="n">
        <v>23627000</v>
      </c>
      <c r="AD162" s="0" t="n">
        <v>23627000</v>
      </c>
      <c r="AE162" s="0" t="n">
        <v>23627000</v>
      </c>
      <c r="AF162" s="0" t="n">
        <v>0.9228</v>
      </c>
      <c r="AG162" s="0" t="n">
        <v>21803000</v>
      </c>
      <c r="AH162" s="0" t="n">
        <v>21803000</v>
      </c>
      <c r="AI162" s="0" t="n">
        <v>1824000</v>
      </c>
      <c r="AJ162" s="0" t="n">
        <v>23627000</v>
      </c>
      <c r="AK162" s="0" t="n">
        <v>21803000</v>
      </c>
      <c r="AL162" s="0" t="n">
        <v>21803000</v>
      </c>
      <c r="AN162" s="0" t="n">
        <v>4.481</v>
      </c>
      <c r="AO162" s="0" t="n">
        <v>6.049</v>
      </c>
      <c r="AP162" s="0" t="n">
        <v>5.579</v>
      </c>
      <c r="AQ162" s="0" t="n">
        <v>100</v>
      </c>
      <c r="AR162" s="0" t="n">
        <v>100</v>
      </c>
      <c r="AS162" s="1" t="n">
        <v>43093</v>
      </c>
      <c r="AT162" s="1" t="n">
        <v>47111</v>
      </c>
      <c r="AU162" s="1" t="n">
        <v>46295</v>
      </c>
      <c r="AV162" s="0" t="s">
        <v>546</v>
      </c>
      <c r="AW162" s="0" t="s">
        <v>327</v>
      </c>
      <c r="AX162" s="0" t="s">
        <v>187</v>
      </c>
      <c r="AY162" s="0" t="s">
        <v>547</v>
      </c>
      <c r="AZ162" s="0" t="s">
        <v>548</v>
      </c>
      <c r="BA162" s="0" t="s">
        <v>308</v>
      </c>
      <c r="BB162" s="0" t="s">
        <v>327</v>
      </c>
      <c r="BC162" s="0" t="s">
        <v>549</v>
      </c>
      <c r="BI162" s="0" t="n">
        <v>23627000</v>
      </c>
      <c r="BJ162" s="0" t="n">
        <v>23627000</v>
      </c>
      <c r="BK162" s="0" t="s">
        <v>253</v>
      </c>
      <c r="BL162" s="0" t="s">
        <v>201</v>
      </c>
      <c r="BN162" s="0" t="n">
        <v>6.6</v>
      </c>
      <c r="BO162" s="0" t="n">
        <v>2.49</v>
      </c>
      <c r="BP162" s="0" t="s">
        <v>187</v>
      </c>
      <c r="BQ162" s="0" t="s">
        <v>187</v>
      </c>
      <c r="BR162" s="0" t="s">
        <v>203</v>
      </c>
      <c r="BS162" s="0" t="s">
        <v>550</v>
      </c>
      <c r="BT162" s="0" t="s">
        <v>205</v>
      </c>
      <c r="BU162" s="0" t="s">
        <v>216</v>
      </c>
      <c r="BW162" s="0" t="s">
        <v>257</v>
      </c>
      <c r="BX162" s="0" t="s">
        <v>207</v>
      </c>
      <c r="BY162" s="0" t="n">
        <v>270</v>
      </c>
      <c r="BZ162" s="0" t="n">
        <v>270</v>
      </c>
      <c r="CC162" s="0" t="s">
        <v>289</v>
      </c>
      <c r="CD162" s="0" t="s">
        <v>289</v>
      </c>
      <c r="CE162" s="0" t="s">
        <v>211</v>
      </c>
      <c r="CF162" s="0" t="s">
        <v>211</v>
      </c>
      <c r="CG162" s="0" t="s">
        <v>211</v>
      </c>
      <c r="CH162" s="1" t="n">
        <v>46112</v>
      </c>
      <c r="CI162" s="0" t="n">
        <v>1.2</v>
      </c>
      <c r="CJ162" s="0" t="n">
        <v>1.79</v>
      </c>
      <c r="CK162" s="0" t="n">
        <v>1.88</v>
      </c>
      <c r="CL162" s="0" t="s">
        <v>212</v>
      </c>
      <c r="DA162" s="0" t="n">
        <v>0.84</v>
      </c>
      <c r="DC162" s="0" t="n">
        <v>0.85</v>
      </c>
      <c r="DD162" s="0" t="s">
        <v>213</v>
      </c>
      <c r="ED162" s="0" t="s">
        <v>212</v>
      </c>
      <c r="EE162" s="0" t="n">
        <v>1.05</v>
      </c>
      <c r="EI162" s="0" t="n">
        <v>1.25</v>
      </c>
      <c r="FQ162" s="0" t="n">
        <v>91720192</v>
      </c>
    </row>
    <row r="163" customFormat="false" ht="15" hidden="false" customHeight="false" outlineLevel="0" collapsed="false">
      <c r="B163" s="0" t="str">
        <f aca="false">C163&amp;"x"&amp;I163</f>
        <v>61017x100233</v>
      </c>
      <c r="C163" s="0" t="n">
        <f aca="false">IF(G163="SINGLE",H163,G163)</f>
        <v>61017</v>
      </c>
      <c r="D163" s="0" t="e">
        <f aca="false">_xlfn.XLOOKUP(I163,calculations!$t:$t,calculations!$s:$s)</f>
        <v>#VALUE!</v>
      </c>
      <c r="E163" s="0" t="str">
        <f aca="false">_xlfn.XLOOKUP(I163,Mapping!$T:$T,Mapping!$Q:$Q)</f>
        <v>ECHO29</v>
      </c>
      <c r="F163" s="1" t="n">
        <v>46203</v>
      </c>
      <c r="G163" s="0" t="n">
        <v>61017</v>
      </c>
      <c r="H163" s="0" t="n">
        <v>61017</v>
      </c>
      <c r="I163" s="0" t="n">
        <v>100233</v>
      </c>
      <c r="J163" s="0" t="s">
        <v>542</v>
      </c>
      <c r="K163" s="0" t="s">
        <v>274</v>
      </c>
      <c r="L163" s="0" t="s">
        <v>274</v>
      </c>
      <c r="M163" s="0" t="s">
        <v>184</v>
      </c>
      <c r="N163" s="0" t="n">
        <v>13069000</v>
      </c>
      <c r="O163" s="0" t="n">
        <v>13069000</v>
      </c>
      <c r="P163" s="0" t="s">
        <v>185</v>
      </c>
      <c r="Q163" s="0" t="s">
        <v>227</v>
      </c>
      <c r="R163" s="0" t="s">
        <v>187</v>
      </c>
      <c r="S163" s="0" t="s">
        <v>543</v>
      </c>
      <c r="T163" s="0" t="s">
        <v>189</v>
      </c>
      <c r="U163" s="0" t="s">
        <v>307</v>
      </c>
      <c r="V163" s="0" t="s">
        <v>308</v>
      </c>
      <c r="W163" s="0" t="s">
        <v>544</v>
      </c>
      <c r="X163" s="0" t="s">
        <v>545</v>
      </c>
      <c r="Y163" s="0" t="n">
        <v>8.1</v>
      </c>
      <c r="Z163" s="0" t="s">
        <v>185</v>
      </c>
      <c r="AA163" s="0" t="n">
        <v>1</v>
      </c>
      <c r="AB163" s="0" t="s">
        <v>187</v>
      </c>
      <c r="AC163" s="0" t="n">
        <v>14162000</v>
      </c>
      <c r="AD163" s="0" t="n">
        <v>14162000</v>
      </c>
      <c r="AE163" s="0" t="n">
        <v>14162000</v>
      </c>
      <c r="AF163" s="0" t="n">
        <v>0.9228</v>
      </c>
      <c r="AG163" s="0" t="n">
        <v>13069000</v>
      </c>
      <c r="AH163" s="0" t="n">
        <v>13069000</v>
      </c>
      <c r="AI163" s="0" t="n">
        <v>1093000</v>
      </c>
      <c r="AJ163" s="0" t="n">
        <v>14162000</v>
      </c>
      <c r="AK163" s="0" t="n">
        <v>13069000</v>
      </c>
      <c r="AL163" s="0" t="n">
        <v>13069000</v>
      </c>
      <c r="AN163" s="0" t="n">
        <v>5.226</v>
      </c>
      <c r="AO163" s="0" t="n">
        <v>4.521</v>
      </c>
      <c r="AP163" s="0" t="n">
        <v>3.549</v>
      </c>
      <c r="AQ163" s="0" t="n">
        <v>100</v>
      </c>
      <c r="AR163" s="0" t="n">
        <v>100</v>
      </c>
      <c r="AS163" s="1" t="n">
        <v>43093</v>
      </c>
      <c r="AT163" s="1" t="n">
        <v>47111</v>
      </c>
      <c r="AU163" s="1" t="n">
        <v>46295</v>
      </c>
      <c r="AV163" s="0" t="s">
        <v>546</v>
      </c>
      <c r="AW163" s="0" t="s">
        <v>327</v>
      </c>
      <c r="AX163" s="0" t="s">
        <v>187</v>
      </c>
      <c r="AY163" s="0" t="s">
        <v>547</v>
      </c>
      <c r="AZ163" s="0" t="s">
        <v>548</v>
      </c>
      <c r="BA163" s="0" t="s">
        <v>308</v>
      </c>
      <c r="BB163" s="0" t="s">
        <v>327</v>
      </c>
      <c r="BC163" s="0" t="s">
        <v>549</v>
      </c>
      <c r="BI163" s="0" t="n">
        <v>14162000</v>
      </c>
      <c r="BJ163" s="0" t="n">
        <v>14162000</v>
      </c>
      <c r="BK163" s="0" t="s">
        <v>253</v>
      </c>
      <c r="BL163" s="0" t="s">
        <v>201</v>
      </c>
      <c r="BN163" s="0" t="n">
        <v>6.6</v>
      </c>
      <c r="BO163" s="0" t="n">
        <v>2.49</v>
      </c>
      <c r="BP163" s="0" t="s">
        <v>187</v>
      </c>
      <c r="BQ163" s="0" t="s">
        <v>187</v>
      </c>
      <c r="BR163" s="0" t="s">
        <v>203</v>
      </c>
      <c r="BS163" s="0" t="s">
        <v>550</v>
      </c>
      <c r="BT163" s="0" t="s">
        <v>205</v>
      </c>
      <c r="BU163" s="0" t="s">
        <v>269</v>
      </c>
      <c r="BW163" s="0" t="s">
        <v>257</v>
      </c>
      <c r="BX163" s="0" t="s">
        <v>217</v>
      </c>
      <c r="BY163" s="0" t="n">
        <v>270</v>
      </c>
      <c r="BZ163" s="0" t="n">
        <v>270</v>
      </c>
      <c r="CC163" s="0" t="s">
        <v>289</v>
      </c>
      <c r="CD163" s="0" t="s">
        <v>289</v>
      </c>
      <c r="CE163" s="0" t="s">
        <v>211</v>
      </c>
      <c r="CF163" s="0" t="s">
        <v>211</v>
      </c>
      <c r="CG163" s="0" t="s">
        <v>211</v>
      </c>
      <c r="CH163" s="1" t="n">
        <v>46112</v>
      </c>
      <c r="CI163" s="0" t="n">
        <v>1.2</v>
      </c>
      <c r="CJ163" s="0" t="n">
        <v>1.89</v>
      </c>
      <c r="CK163" s="0" t="n">
        <v>1.98</v>
      </c>
      <c r="CL163" s="0" t="s">
        <v>212</v>
      </c>
      <c r="DA163" s="0" t="n">
        <v>0.85</v>
      </c>
      <c r="DC163" s="0" t="n">
        <v>0.85</v>
      </c>
      <c r="DD163" s="0" t="s">
        <v>213</v>
      </c>
      <c r="ED163" s="0" t="s">
        <v>212</v>
      </c>
      <c r="EE163" s="0" t="n">
        <v>1.05</v>
      </c>
      <c r="EI163" s="0" t="n">
        <v>1.88</v>
      </c>
      <c r="FQ163" s="0" t="n">
        <v>81972732</v>
      </c>
    </row>
    <row r="164" customFormat="false" ht="15" hidden="false" customHeight="false" outlineLevel="0" collapsed="false">
      <c r="B164" s="0" t="str">
        <f aca="false">C164&amp;"x"&amp;I164</f>
        <v>61011x100233</v>
      </c>
      <c r="C164" s="0" t="n">
        <f aca="false">IF(G164="SINGLE",H164,G164)</f>
        <v>61011</v>
      </c>
      <c r="D164" s="0" t="e">
        <f aca="false">_xlfn.XLOOKUP(I164,calculations!$t:$t,calculations!$s:$s)</f>
        <v>#VALUE!</v>
      </c>
      <c r="E164" s="0" t="str">
        <f aca="false">_xlfn.XLOOKUP(I164,Mapping!$T:$T,Mapping!$Q:$Q)</f>
        <v>ECHO29</v>
      </c>
      <c r="F164" s="1" t="n">
        <v>46203</v>
      </c>
      <c r="G164" s="0" t="n">
        <v>61011</v>
      </c>
      <c r="H164" s="0" t="n">
        <v>61011</v>
      </c>
      <c r="I164" s="0" t="n">
        <v>100233</v>
      </c>
      <c r="J164" s="0" t="s">
        <v>542</v>
      </c>
      <c r="K164" s="0" t="s">
        <v>421</v>
      </c>
      <c r="L164" s="0" t="s">
        <v>421</v>
      </c>
      <c r="M164" s="0" t="s">
        <v>184</v>
      </c>
      <c r="N164" s="0" t="n">
        <v>17481000</v>
      </c>
      <c r="O164" s="0" t="n">
        <v>17481000</v>
      </c>
      <c r="P164" s="0" t="s">
        <v>185</v>
      </c>
      <c r="Q164" s="0" t="s">
        <v>227</v>
      </c>
      <c r="R164" s="0" t="s">
        <v>187</v>
      </c>
      <c r="S164" s="0" t="s">
        <v>543</v>
      </c>
      <c r="T164" s="0" t="s">
        <v>189</v>
      </c>
      <c r="U164" s="0" t="s">
        <v>307</v>
      </c>
      <c r="V164" s="0" t="s">
        <v>308</v>
      </c>
      <c r="W164" s="0" t="s">
        <v>544</v>
      </c>
      <c r="X164" s="0" t="s">
        <v>545</v>
      </c>
      <c r="Y164" s="0" t="n">
        <v>8.1</v>
      </c>
      <c r="Z164" s="0" t="s">
        <v>185</v>
      </c>
      <c r="AA164" s="0" t="n">
        <v>1</v>
      </c>
      <c r="AB164" s="0" t="s">
        <v>187</v>
      </c>
      <c r="AC164" s="0" t="n">
        <v>18944000</v>
      </c>
      <c r="AD164" s="0" t="n">
        <v>18944000</v>
      </c>
      <c r="AE164" s="0" t="n">
        <v>18944000</v>
      </c>
      <c r="AF164" s="0" t="n">
        <v>0.9228</v>
      </c>
      <c r="AG164" s="0" t="n">
        <v>17481000</v>
      </c>
      <c r="AH164" s="0" t="n">
        <v>17481000</v>
      </c>
      <c r="AI164" s="0" t="n">
        <v>1463000</v>
      </c>
      <c r="AJ164" s="0" t="n">
        <v>18944000</v>
      </c>
      <c r="AK164" s="0" t="n">
        <v>17481000</v>
      </c>
      <c r="AL164" s="0" t="n">
        <v>17481000</v>
      </c>
      <c r="AN164" s="0" t="n">
        <v>3.715</v>
      </c>
      <c r="AO164" s="0" t="n">
        <v>5.551</v>
      </c>
      <c r="AP164" s="0" t="n">
        <v>6.103</v>
      </c>
      <c r="AQ164" s="0" t="n">
        <v>100</v>
      </c>
      <c r="AR164" s="0" t="n">
        <v>100</v>
      </c>
      <c r="AS164" s="1" t="n">
        <v>43093</v>
      </c>
      <c r="AT164" s="1" t="n">
        <v>47111</v>
      </c>
      <c r="AU164" s="1" t="n">
        <v>46295</v>
      </c>
      <c r="AV164" s="0" t="s">
        <v>546</v>
      </c>
      <c r="AW164" s="0" t="s">
        <v>327</v>
      </c>
      <c r="AX164" s="0" t="s">
        <v>187</v>
      </c>
      <c r="AY164" s="0" t="s">
        <v>547</v>
      </c>
      <c r="AZ164" s="0" t="s">
        <v>548</v>
      </c>
      <c r="BA164" s="0" t="s">
        <v>308</v>
      </c>
      <c r="BB164" s="0" t="s">
        <v>327</v>
      </c>
      <c r="BC164" s="0" t="s">
        <v>549</v>
      </c>
      <c r="BI164" s="0" t="n">
        <v>18944000</v>
      </c>
      <c r="BJ164" s="0" t="n">
        <v>18944000</v>
      </c>
      <c r="BK164" s="0" t="s">
        <v>253</v>
      </c>
      <c r="BL164" s="0" t="s">
        <v>201</v>
      </c>
      <c r="BN164" s="0" t="n">
        <v>6.6</v>
      </c>
      <c r="BO164" s="0" t="n">
        <v>2.49</v>
      </c>
      <c r="BP164" s="0" t="s">
        <v>187</v>
      </c>
      <c r="BQ164" s="0" t="s">
        <v>187</v>
      </c>
      <c r="BR164" s="0" t="s">
        <v>203</v>
      </c>
      <c r="BS164" s="0" t="s">
        <v>550</v>
      </c>
      <c r="BT164" s="0" t="s">
        <v>205</v>
      </c>
      <c r="BU164" s="0" t="s">
        <v>269</v>
      </c>
      <c r="BW164" s="0" t="s">
        <v>257</v>
      </c>
      <c r="BX164" s="0" t="s">
        <v>207</v>
      </c>
      <c r="BY164" s="0" t="n">
        <v>270</v>
      </c>
      <c r="BZ164" s="0" t="n">
        <v>270</v>
      </c>
      <c r="CC164" s="0" t="s">
        <v>289</v>
      </c>
      <c r="CD164" s="0" t="s">
        <v>289</v>
      </c>
      <c r="CE164" s="0" t="s">
        <v>211</v>
      </c>
      <c r="CF164" s="0" t="s">
        <v>211</v>
      </c>
      <c r="CG164" s="0" t="s">
        <v>211</v>
      </c>
      <c r="CH164" s="1" t="n">
        <v>46112</v>
      </c>
      <c r="CI164" s="0" t="n">
        <v>1.2</v>
      </c>
      <c r="CJ164" s="0" t="n">
        <v>2.72</v>
      </c>
      <c r="CK164" s="0" t="n">
        <v>2.86</v>
      </c>
      <c r="CL164" s="0" t="s">
        <v>212</v>
      </c>
      <c r="DA164" s="0" t="n">
        <v>0.8</v>
      </c>
      <c r="DC164" s="0" t="n">
        <v>0.85</v>
      </c>
      <c r="DD164" s="0" t="s">
        <v>213</v>
      </c>
      <c r="ED164" s="0" t="s">
        <v>212</v>
      </c>
      <c r="EE164" s="0" t="n">
        <v>1.05</v>
      </c>
      <c r="EI164" s="0" t="n">
        <v>1.45</v>
      </c>
      <c r="FQ164" s="0" t="n">
        <v>81609384</v>
      </c>
    </row>
    <row r="165" customFormat="false" ht="15" hidden="false" customHeight="false" outlineLevel="0" collapsed="false">
      <c r="B165" s="0" t="str">
        <f aca="false">C165&amp;"x"&amp;I165</f>
        <v>61020x100233</v>
      </c>
      <c r="C165" s="0" t="n">
        <f aca="false">IF(G165="SINGLE",H165,G165)</f>
        <v>61020</v>
      </c>
      <c r="D165" s="0" t="e">
        <f aca="false">_xlfn.XLOOKUP(I165,calculations!$t:$t,calculations!$s:$s)</f>
        <v>#VALUE!</v>
      </c>
      <c r="E165" s="0" t="str">
        <f aca="false">_xlfn.XLOOKUP(I165,Mapping!$T:$T,Mapping!$Q:$Q)</f>
        <v>ECHO29</v>
      </c>
      <c r="F165" s="1" t="n">
        <v>46203</v>
      </c>
      <c r="G165" s="0" t="n">
        <v>61020</v>
      </c>
      <c r="H165" s="0" t="n">
        <v>61020</v>
      </c>
      <c r="I165" s="0" t="n">
        <v>100233</v>
      </c>
      <c r="J165" s="0" t="s">
        <v>542</v>
      </c>
      <c r="K165" s="0" t="s">
        <v>293</v>
      </c>
      <c r="L165" s="0" t="s">
        <v>293</v>
      </c>
      <c r="M165" s="0" t="s">
        <v>184</v>
      </c>
      <c r="N165" s="0" t="n">
        <v>36325000</v>
      </c>
      <c r="O165" s="0" t="n">
        <v>36325000</v>
      </c>
      <c r="P165" s="0" t="s">
        <v>185</v>
      </c>
      <c r="Q165" s="0" t="s">
        <v>227</v>
      </c>
      <c r="R165" s="0" t="s">
        <v>187</v>
      </c>
      <c r="S165" s="0" t="s">
        <v>543</v>
      </c>
      <c r="T165" s="0" t="s">
        <v>189</v>
      </c>
      <c r="U165" s="0" t="s">
        <v>307</v>
      </c>
      <c r="V165" s="0" t="s">
        <v>308</v>
      </c>
      <c r="W165" s="0" t="s">
        <v>544</v>
      </c>
      <c r="X165" s="0" t="s">
        <v>545</v>
      </c>
      <c r="Y165" s="0" t="n">
        <v>8.1</v>
      </c>
      <c r="Z165" s="0" t="s">
        <v>185</v>
      </c>
      <c r="AA165" s="0" t="n">
        <v>1</v>
      </c>
      <c r="AB165" s="0" t="s">
        <v>187</v>
      </c>
      <c r="AC165" s="0" t="n">
        <v>39364000</v>
      </c>
      <c r="AD165" s="0" t="n">
        <v>39364000</v>
      </c>
      <c r="AE165" s="0" t="n">
        <v>39364000</v>
      </c>
      <c r="AF165" s="0" t="n">
        <v>0.9228</v>
      </c>
      <c r="AG165" s="0" t="n">
        <v>36325000</v>
      </c>
      <c r="AH165" s="0" t="n">
        <v>36325000</v>
      </c>
      <c r="AI165" s="0" t="n">
        <v>3039000</v>
      </c>
      <c r="AJ165" s="0" t="n">
        <v>39364000</v>
      </c>
      <c r="AK165" s="0" t="n">
        <v>36325000</v>
      </c>
      <c r="AL165" s="0" t="n">
        <v>36325000</v>
      </c>
      <c r="AN165" s="0" t="n">
        <v>4.855</v>
      </c>
      <c r="AO165" s="0" t="n">
        <v>5.856</v>
      </c>
      <c r="AP165" s="0" t="n">
        <v>4.515</v>
      </c>
      <c r="AQ165" s="0" t="n">
        <v>100</v>
      </c>
      <c r="AR165" s="0" t="n">
        <v>100</v>
      </c>
      <c r="AS165" s="1" t="n">
        <v>43093</v>
      </c>
      <c r="AT165" s="1" t="n">
        <v>47111</v>
      </c>
      <c r="AU165" s="1" t="n">
        <v>46295</v>
      </c>
      <c r="AV165" s="0" t="s">
        <v>546</v>
      </c>
      <c r="AW165" s="0" t="s">
        <v>327</v>
      </c>
      <c r="AX165" s="0" t="s">
        <v>187</v>
      </c>
      <c r="AY165" s="0" t="s">
        <v>547</v>
      </c>
      <c r="AZ165" s="0" t="s">
        <v>548</v>
      </c>
      <c r="BA165" s="0" t="s">
        <v>308</v>
      </c>
      <c r="BB165" s="0" t="s">
        <v>327</v>
      </c>
      <c r="BC165" s="0" t="s">
        <v>549</v>
      </c>
      <c r="BI165" s="0" t="n">
        <v>39364000</v>
      </c>
      <c r="BJ165" s="0" t="n">
        <v>39364000</v>
      </c>
      <c r="BK165" s="0" t="s">
        <v>253</v>
      </c>
      <c r="BL165" s="0" t="s">
        <v>201</v>
      </c>
      <c r="BN165" s="0" t="n">
        <v>6.6</v>
      </c>
      <c r="BO165" s="0" t="n">
        <v>2.49</v>
      </c>
      <c r="BP165" s="0" t="s">
        <v>187</v>
      </c>
      <c r="BQ165" s="0" t="s">
        <v>187</v>
      </c>
      <c r="BR165" s="0" t="s">
        <v>203</v>
      </c>
      <c r="BS165" s="0" t="s">
        <v>550</v>
      </c>
      <c r="BT165" s="0" t="s">
        <v>205</v>
      </c>
      <c r="BU165" s="0" t="s">
        <v>216</v>
      </c>
      <c r="BW165" s="0" t="s">
        <v>257</v>
      </c>
      <c r="BX165" s="0" t="s">
        <v>207</v>
      </c>
      <c r="BY165" s="0" t="n">
        <v>270</v>
      </c>
      <c r="BZ165" s="0" t="n">
        <v>270</v>
      </c>
      <c r="CC165" s="0" t="s">
        <v>289</v>
      </c>
      <c r="CD165" s="0" t="s">
        <v>289</v>
      </c>
      <c r="CE165" s="0" t="s">
        <v>211</v>
      </c>
      <c r="CF165" s="0" t="s">
        <v>211</v>
      </c>
      <c r="CG165" s="0" t="s">
        <v>211</v>
      </c>
      <c r="CH165" s="1" t="n">
        <v>46112</v>
      </c>
      <c r="CI165" s="0" t="n">
        <v>1.2</v>
      </c>
      <c r="CJ165" s="0" t="n">
        <v>2.14</v>
      </c>
      <c r="CK165" s="0" t="n">
        <v>2.25</v>
      </c>
      <c r="CL165" s="0" t="s">
        <v>212</v>
      </c>
      <c r="DA165" s="0" t="n">
        <v>0.68</v>
      </c>
      <c r="DC165" s="0" t="n">
        <v>0.85</v>
      </c>
      <c r="DD165" s="0" t="s">
        <v>212</v>
      </c>
      <c r="ED165" s="0" t="s">
        <v>212</v>
      </c>
      <c r="EE165" s="0" t="n">
        <v>1.05</v>
      </c>
      <c r="EI165" s="0" t="n">
        <v>1.39</v>
      </c>
      <c r="FQ165" s="0" t="n">
        <v>82655516</v>
      </c>
    </row>
    <row r="166" customFormat="false" ht="15" hidden="false" customHeight="false" outlineLevel="0" collapsed="false">
      <c r="B166" s="0" t="str">
        <f aca="false">C166&amp;"x"&amp;I166</f>
        <v>61021x100234</v>
      </c>
      <c r="C166" s="0" t="n">
        <f aca="false">IF(G166="SINGLE",H166,G166)</f>
        <v>61021</v>
      </c>
      <c r="D166" s="0" t="e">
        <f aca="false">_xlfn.XLOOKUP(I166,calculations!$t:$t,calculations!$s:$s)</f>
        <v>#VALUE!</v>
      </c>
      <c r="E166" s="0" t="str">
        <f aca="false">_xlfn.XLOOKUP(I166,Mapping!$T:$T,Mapping!$Q:$Q)</f>
        <v>FJOR30</v>
      </c>
      <c r="F166" s="1" t="n">
        <v>46203</v>
      </c>
      <c r="G166" s="0" t="n">
        <v>61021</v>
      </c>
      <c r="H166" s="0" t="n">
        <v>61021</v>
      </c>
      <c r="I166" s="0" t="n">
        <v>100234</v>
      </c>
      <c r="J166" s="0" t="s">
        <v>551</v>
      </c>
      <c r="K166" s="0" t="s">
        <v>214</v>
      </c>
      <c r="L166" s="0" t="s">
        <v>214</v>
      </c>
      <c r="M166" s="0" t="s">
        <v>184</v>
      </c>
      <c r="N166" s="0" t="n">
        <v>24060000</v>
      </c>
      <c r="O166" s="0" t="n">
        <v>24060000</v>
      </c>
      <c r="P166" s="0" t="s">
        <v>185</v>
      </c>
      <c r="Q166" s="0" t="s">
        <v>227</v>
      </c>
      <c r="R166" s="0" t="s">
        <v>202</v>
      </c>
      <c r="S166" s="0" t="s">
        <v>552</v>
      </c>
      <c r="T166" s="0" t="s">
        <v>189</v>
      </c>
      <c r="U166" s="0" t="s">
        <v>357</v>
      </c>
      <c r="V166" s="0" t="s">
        <v>358</v>
      </c>
      <c r="W166" s="0" t="s">
        <v>434</v>
      </c>
      <c r="X166" s="0" t="s">
        <v>553</v>
      </c>
      <c r="Y166" s="0" t="n">
        <v>4.4</v>
      </c>
      <c r="Z166" s="0" t="s">
        <v>185</v>
      </c>
      <c r="AA166" s="0" t="n">
        <v>1</v>
      </c>
      <c r="AB166" s="0" t="s">
        <v>187</v>
      </c>
      <c r="AC166" s="0" t="n">
        <v>69315000</v>
      </c>
      <c r="AD166" s="0" t="n">
        <v>66014000</v>
      </c>
      <c r="AE166" s="0" t="n">
        <v>66014000</v>
      </c>
      <c r="AF166" s="0" t="n">
        <v>0.3645</v>
      </c>
      <c r="AG166" s="0" t="n">
        <v>24060000</v>
      </c>
      <c r="AH166" s="0" t="n">
        <v>24060000</v>
      </c>
      <c r="AI166" s="0" t="n">
        <v>41954000</v>
      </c>
      <c r="AJ166" s="0" t="n">
        <v>66014000</v>
      </c>
      <c r="AK166" s="0" t="n">
        <v>24060000</v>
      </c>
      <c r="AL166" s="0" t="n">
        <v>24060000</v>
      </c>
      <c r="AN166" s="0" t="n">
        <v>5.717</v>
      </c>
      <c r="AO166" s="0" t="n">
        <v>3.2</v>
      </c>
      <c r="AP166" s="0" t="n">
        <v>5.409</v>
      </c>
      <c r="AQ166" s="0" t="n">
        <v>100</v>
      </c>
      <c r="AR166" s="0" t="n">
        <v>100</v>
      </c>
      <c r="AS166" s="1" t="n">
        <v>45846</v>
      </c>
      <c r="AT166" s="1" t="n">
        <v>48221</v>
      </c>
      <c r="AU166" s="1" t="n">
        <v>46295</v>
      </c>
      <c r="AV166" s="0" t="s">
        <v>554</v>
      </c>
      <c r="AW166" s="0" t="s">
        <v>234</v>
      </c>
      <c r="AX166" s="0" t="s">
        <v>187</v>
      </c>
      <c r="AY166" s="0" t="s">
        <v>555</v>
      </c>
      <c r="AZ166" s="0" t="s">
        <v>556</v>
      </c>
      <c r="BA166" s="0" t="s">
        <v>358</v>
      </c>
      <c r="BB166" s="0" t="s">
        <v>234</v>
      </c>
      <c r="BC166" s="0" t="s">
        <v>557</v>
      </c>
      <c r="BI166" s="0" t="n">
        <v>66014000</v>
      </c>
      <c r="BJ166" s="0" t="n">
        <v>66014000</v>
      </c>
      <c r="BK166" s="0" t="s">
        <v>253</v>
      </c>
      <c r="BL166" s="0" t="s">
        <v>201</v>
      </c>
      <c r="BN166" s="0" t="n">
        <v>3.9</v>
      </c>
      <c r="BO166" s="0" t="n">
        <v>5.52</v>
      </c>
      <c r="BP166" s="0" t="s">
        <v>187</v>
      </c>
      <c r="BQ166" s="0" t="s">
        <v>187</v>
      </c>
      <c r="BR166" s="0" t="s">
        <v>203</v>
      </c>
      <c r="BS166" s="0" t="s">
        <v>558</v>
      </c>
      <c r="BT166" s="0" t="s">
        <v>205</v>
      </c>
      <c r="BU166" s="0" t="s">
        <v>220</v>
      </c>
      <c r="BW166" s="0" t="s">
        <v>257</v>
      </c>
      <c r="BX166" s="0" t="s">
        <v>207</v>
      </c>
      <c r="BY166" s="0" t="n">
        <v>225</v>
      </c>
      <c r="BZ166" s="0" t="n">
        <v>225</v>
      </c>
      <c r="CC166" s="0" t="s">
        <v>239</v>
      </c>
      <c r="CD166" s="0" t="s">
        <v>239</v>
      </c>
      <c r="CE166" s="0" t="s">
        <v>211</v>
      </c>
      <c r="CF166" s="0" t="s">
        <v>211</v>
      </c>
      <c r="CG166" s="0" t="s">
        <v>211</v>
      </c>
      <c r="CH166" s="1" t="n">
        <v>46112</v>
      </c>
      <c r="CI166" s="0" t="n">
        <v>1.2</v>
      </c>
      <c r="CJ166" s="0" t="n">
        <v>1.28</v>
      </c>
      <c r="CK166" s="0" t="n">
        <v>1.34</v>
      </c>
      <c r="CL166" s="0" t="s">
        <v>213</v>
      </c>
      <c r="DA166" s="0" t="n">
        <v>0.79</v>
      </c>
      <c r="DC166" s="0" t="n">
        <v>0.85</v>
      </c>
      <c r="DD166" s="0" t="s">
        <v>212</v>
      </c>
      <c r="ED166" s="0" t="s">
        <v>212</v>
      </c>
      <c r="EE166" s="0" t="n">
        <v>1.05</v>
      </c>
      <c r="EI166" s="0" t="n">
        <v>1.76</v>
      </c>
      <c r="FQ166" s="0" t="n">
        <v>47587349</v>
      </c>
    </row>
    <row r="167" customFormat="false" ht="15" hidden="false" customHeight="false" outlineLevel="0" collapsed="false">
      <c r="B167" s="0" t="str">
        <f aca="false">C167&amp;"x"&amp;I167</f>
        <v>61005x100234</v>
      </c>
      <c r="C167" s="0" t="n">
        <f aca="false">IF(G167="SINGLE",H167,G167)</f>
        <v>61005</v>
      </c>
      <c r="D167" s="0" t="e">
        <f aca="false">_xlfn.XLOOKUP(I167,calculations!$t:$t,calculations!$s:$s)</f>
        <v>#VALUE!</v>
      </c>
      <c r="E167" s="0" t="str">
        <f aca="false">_xlfn.XLOOKUP(I167,Mapping!$T:$T,Mapping!$Q:$Q)</f>
        <v>FJOR30</v>
      </c>
      <c r="F167" s="1" t="n">
        <v>46203</v>
      </c>
      <c r="G167" s="0" t="n">
        <v>61005</v>
      </c>
      <c r="H167" s="0" t="n">
        <v>61005</v>
      </c>
      <c r="I167" s="0" t="n">
        <v>100234</v>
      </c>
      <c r="J167" s="0" t="s">
        <v>551</v>
      </c>
      <c r="K167" s="0" t="s">
        <v>275</v>
      </c>
      <c r="L167" s="0" t="s">
        <v>275</v>
      </c>
      <c r="M167" s="0" t="s">
        <v>184</v>
      </c>
      <c r="N167" s="0" t="n">
        <v>43969000</v>
      </c>
      <c r="O167" s="0" t="n">
        <v>43969000</v>
      </c>
      <c r="P167" s="0" t="s">
        <v>185</v>
      </c>
      <c r="Q167" s="0" t="s">
        <v>227</v>
      </c>
      <c r="R167" s="0" t="s">
        <v>202</v>
      </c>
      <c r="S167" s="0" t="s">
        <v>552</v>
      </c>
      <c r="T167" s="0" t="s">
        <v>189</v>
      </c>
      <c r="U167" s="0" t="s">
        <v>357</v>
      </c>
      <c r="V167" s="0" t="s">
        <v>358</v>
      </c>
      <c r="W167" s="0" t="s">
        <v>434</v>
      </c>
      <c r="X167" s="0" t="s">
        <v>553</v>
      </c>
      <c r="Y167" s="0" t="n">
        <v>4.4</v>
      </c>
      <c r="Z167" s="0" t="s">
        <v>185</v>
      </c>
      <c r="AA167" s="0" t="n">
        <v>1</v>
      </c>
      <c r="AB167" s="0" t="s">
        <v>187</v>
      </c>
      <c r="AC167" s="0" t="n">
        <v>126669000</v>
      </c>
      <c r="AD167" s="0" t="n">
        <v>120637000</v>
      </c>
      <c r="AE167" s="0" t="n">
        <v>120637000</v>
      </c>
      <c r="AF167" s="0" t="n">
        <v>0.3645</v>
      </c>
      <c r="AG167" s="0" t="n">
        <v>43969000</v>
      </c>
      <c r="AH167" s="0" t="n">
        <v>43969000</v>
      </c>
      <c r="AI167" s="0" t="n">
        <v>76668000</v>
      </c>
      <c r="AJ167" s="0" t="n">
        <v>120637000</v>
      </c>
      <c r="AK167" s="0" t="n">
        <v>43969000</v>
      </c>
      <c r="AL167" s="0" t="n">
        <v>43969000</v>
      </c>
      <c r="AN167" s="0" t="n">
        <v>4.919</v>
      </c>
      <c r="AO167" s="0" t="n">
        <v>3.764</v>
      </c>
      <c r="AP167" s="0" t="n">
        <v>5.684</v>
      </c>
      <c r="AQ167" s="0" t="n">
        <v>100</v>
      </c>
      <c r="AR167" s="0" t="n">
        <v>100</v>
      </c>
      <c r="AS167" s="1" t="n">
        <v>45846</v>
      </c>
      <c r="AT167" s="1" t="n">
        <v>48221</v>
      </c>
      <c r="AU167" s="1" t="n">
        <v>46295</v>
      </c>
      <c r="AV167" s="0" t="s">
        <v>554</v>
      </c>
      <c r="AW167" s="0" t="s">
        <v>234</v>
      </c>
      <c r="AX167" s="0" t="s">
        <v>187</v>
      </c>
      <c r="AY167" s="0" t="s">
        <v>555</v>
      </c>
      <c r="AZ167" s="0" t="s">
        <v>556</v>
      </c>
      <c r="BA167" s="0" t="s">
        <v>358</v>
      </c>
      <c r="BB167" s="0" t="s">
        <v>234</v>
      </c>
      <c r="BC167" s="0" t="s">
        <v>557</v>
      </c>
      <c r="BI167" s="0" t="n">
        <v>120637000</v>
      </c>
      <c r="BJ167" s="0" t="n">
        <v>120637000</v>
      </c>
      <c r="BK167" s="0" t="s">
        <v>253</v>
      </c>
      <c r="BL167" s="0" t="s">
        <v>201</v>
      </c>
      <c r="BN167" s="0" t="n">
        <v>3.9</v>
      </c>
      <c r="BO167" s="0" t="n">
        <v>5.52</v>
      </c>
      <c r="BP167" s="0" t="s">
        <v>187</v>
      </c>
      <c r="BQ167" s="0" t="s">
        <v>187</v>
      </c>
      <c r="BR167" s="0" t="s">
        <v>203</v>
      </c>
      <c r="BS167" s="0" t="s">
        <v>558</v>
      </c>
      <c r="BT167" s="0" t="s">
        <v>205</v>
      </c>
      <c r="BU167" s="0" t="s">
        <v>220</v>
      </c>
      <c r="BW167" s="0" t="s">
        <v>257</v>
      </c>
      <c r="BX167" s="0" t="s">
        <v>217</v>
      </c>
      <c r="BY167" s="0" t="n">
        <v>225</v>
      </c>
      <c r="BZ167" s="0" t="n">
        <v>225</v>
      </c>
      <c r="CC167" s="0" t="s">
        <v>239</v>
      </c>
      <c r="CD167" s="0" t="s">
        <v>239</v>
      </c>
      <c r="CE167" s="0" t="s">
        <v>211</v>
      </c>
      <c r="CF167" s="0" t="s">
        <v>211</v>
      </c>
      <c r="CG167" s="0" t="s">
        <v>211</v>
      </c>
      <c r="CH167" s="1" t="n">
        <v>46112</v>
      </c>
      <c r="CI167" s="0" t="n">
        <v>1.2</v>
      </c>
      <c r="CJ167" s="0" t="n">
        <v>2.83</v>
      </c>
      <c r="CK167" s="0" t="n">
        <v>2.97</v>
      </c>
      <c r="CL167" s="0" t="s">
        <v>212</v>
      </c>
      <c r="DA167" s="0" t="n">
        <v>0.65</v>
      </c>
      <c r="DC167" s="0" t="n">
        <v>0.85</v>
      </c>
      <c r="DD167" s="0" t="s">
        <v>212</v>
      </c>
      <c r="ED167" s="0" t="s">
        <v>212</v>
      </c>
      <c r="EE167" s="0" t="n">
        <v>1.05</v>
      </c>
      <c r="EI167" s="0" t="n">
        <v>1.89</v>
      </c>
      <c r="FQ167" s="0" t="n">
        <v>37594054</v>
      </c>
    </row>
    <row r="168" customFormat="false" ht="15" hidden="false" customHeight="false" outlineLevel="0" collapsed="false">
      <c r="B168" s="0" t="str">
        <f aca="false">C168&amp;"x"&amp;I168</f>
        <v>61015x100235</v>
      </c>
      <c r="C168" s="0" t="n">
        <f aca="false">IF(G168="SINGLE",H168,G168)</f>
        <v>61015</v>
      </c>
      <c r="D168" s="0" t="e">
        <f aca="false">_xlfn.XLOOKUP(I168,calculations!$t:$t,calculations!$s:$s)</f>
        <v>#VALUE!</v>
      </c>
      <c r="E168" s="0" t="str">
        <f aca="false">_xlfn.XLOOKUP(I168,Mapping!$T:$T,Mapping!$Q:$Q)</f>
        <v>GLAC31</v>
      </c>
      <c r="F168" s="1" t="n">
        <v>46203</v>
      </c>
      <c r="G168" s="0" t="n">
        <v>61015</v>
      </c>
      <c r="H168" s="0" t="n">
        <v>61015</v>
      </c>
      <c r="I168" s="0" t="n">
        <v>100235</v>
      </c>
      <c r="J168" s="0" t="s">
        <v>559</v>
      </c>
      <c r="K168" s="0" t="s">
        <v>215</v>
      </c>
      <c r="L168" s="0" t="s">
        <v>215</v>
      </c>
      <c r="M168" s="0" t="s">
        <v>184</v>
      </c>
      <c r="N168" s="0" t="n">
        <v>11063000</v>
      </c>
      <c r="O168" s="0" t="n">
        <v>11063000</v>
      </c>
      <c r="P168" s="0" t="s">
        <v>185</v>
      </c>
      <c r="Q168" s="0" t="s">
        <v>227</v>
      </c>
      <c r="R168" s="0" t="s">
        <v>187</v>
      </c>
      <c r="S168" s="0" t="s">
        <v>560</v>
      </c>
      <c r="T168" s="0" t="s">
        <v>189</v>
      </c>
      <c r="U168" s="0" t="s">
        <v>561</v>
      </c>
      <c r="V168" s="0" t="s">
        <v>562</v>
      </c>
      <c r="W168" s="0" t="s">
        <v>309</v>
      </c>
      <c r="X168" s="0" t="s">
        <v>563</v>
      </c>
      <c r="Y168" s="0" t="n">
        <v>11.8</v>
      </c>
      <c r="Z168" s="0" t="s">
        <v>185</v>
      </c>
      <c r="AA168" s="0" t="n">
        <v>1</v>
      </c>
      <c r="AB168" s="0" t="s">
        <v>187</v>
      </c>
      <c r="AC168" s="0" t="n">
        <v>18255000</v>
      </c>
      <c r="AD168" s="0" t="n">
        <v>18255000</v>
      </c>
      <c r="AE168" s="0" t="n">
        <v>18255000</v>
      </c>
      <c r="AF168" s="0" t="n">
        <v>0.606</v>
      </c>
      <c r="AG168" s="0" t="n">
        <v>11063000</v>
      </c>
      <c r="AH168" s="0" t="n">
        <v>11063000</v>
      </c>
      <c r="AI168" s="0" t="n">
        <v>7192000</v>
      </c>
      <c r="AJ168" s="0" t="n">
        <v>18255000</v>
      </c>
      <c r="AK168" s="0" t="n">
        <v>11063000</v>
      </c>
      <c r="AL168" s="0" t="n">
        <v>11063000</v>
      </c>
      <c r="AN168" s="0" t="n">
        <v>3.256</v>
      </c>
      <c r="AO168" s="0" t="n">
        <v>5.001</v>
      </c>
      <c r="AP168" s="0" t="n">
        <v>2.874</v>
      </c>
      <c r="AQ168" s="0" t="n">
        <v>100</v>
      </c>
      <c r="AR168" s="0" t="n">
        <v>100</v>
      </c>
      <c r="AS168" s="1" t="n">
        <v>43999</v>
      </c>
      <c r="AT168" s="1" t="n">
        <v>50756</v>
      </c>
      <c r="AU168" s="1" t="n">
        <v>46295</v>
      </c>
      <c r="AV168" s="0" t="s">
        <v>564</v>
      </c>
      <c r="AW168" s="0" t="s">
        <v>312</v>
      </c>
      <c r="AX168" s="0" t="s">
        <v>187</v>
      </c>
      <c r="AY168" s="0" t="s">
        <v>565</v>
      </c>
      <c r="AZ168" s="0" t="s">
        <v>566</v>
      </c>
      <c r="BA168" s="0" t="s">
        <v>562</v>
      </c>
      <c r="BB168" s="0" t="s">
        <v>312</v>
      </c>
      <c r="BC168" s="0" t="s">
        <v>567</v>
      </c>
      <c r="BI168" s="0" t="n">
        <v>18255000</v>
      </c>
      <c r="BJ168" s="0" t="n">
        <v>18255000</v>
      </c>
      <c r="BK168" s="0" t="s">
        <v>253</v>
      </c>
      <c r="BL168" s="0" t="s">
        <v>201</v>
      </c>
      <c r="BN168" s="0" t="n">
        <v>11.1</v>
      </c>
      <c r="BO168" s="0" t="n">
        <v>12.47</v>
      </c>
      <c r="BP168" s="0" t="s">
        <v>187</v>
      </c>
      <c r="BQ168" s="0" t="s">
        <v>187</v>
      </c>
      <c r="BR168" s="0" t="s">
        <v>203</v>
      </c>
      <c r="BS168" s="0" t="s">
        <v>568</v>
      </c>
      <c r="BT168" s="0" t="s">
        <v>224</v>
      </c>
      <c r="BU168" s="0" t="s">
        <v>269</v>
      </c>
      <c r="BW168" s="0" t="s">
        <v>206</v>
      </c>
      <c r="BX168" s="0" t="s">
        <v>207</v>
      </c>
      <c r="BY168" s="0" t="n">
        <v>275</v>
      </c>
      <c r="BZ168" s="0" t="n">
        <v>275</v>
      </c>
      <c r="CC168" s="0" t="s">
        <v>239</v>
      </c>
      <c r="CD168" s="0" t="s">
        <v>239</v>
      </c>
      <c r="CE168" s="0" t="s">
        <v>211</v>
      </c>
      <c r="CF168" s="0" t="s">
        <v>211</v>
      </c>
      <c r="CG168" s="0" t="s">
        <v>211</v>
      </c>
      <c r="CH168" s="1" t="n">
        <v>46112</v>
      </c>
      <c r="CI168" s="0" t="n">
        <v>1.2</v>
      </c>
      <c r="CJ168" s="0" t="n">
        <v>2.36</v>
      </c>
      <c r="CK168" s="0" t="n">
        <v>2.48</v>
      </c>
      <c r="CL168" s="0" t="s">
        <v>212</v>
      </c>
      <c r="DA168" s="0" t="n">
        <v>0.5</v>
      </c>
      <c r="DC168" s="0" t="n">
        <v>0.85</v>
      </c>
      <c r="DD168" s="0" t="s">
        <v>212</v>
      </c>
      <c r="ED168" s="0" t="s">
        <v>212</v>
      </c>
      <c r="EE168" s="0" t="n">
        <v>1.05</v>
      </c>
      <c r="EI168" s="0" t="n">
        <v>1.91</v>
      </c>
      <c r="FQ168" s="0" t="n">
        <v>28358189</v>
      </c>
    </row>
    <row r="169" customFormat="false" ht="15" hidden="false" customHeight="false" outlineLevel="0" collapsed="false">
      <c r="B169" s="0" t="str">
        <f aca="false">C169&amp;"x"&amp;I169</f>
        <v>61024x100235</v>
      </c>
      <c r="C169" s="0" t="n">
        <f aca="false">IF(G169="SINGLE",H169,G169)</f>
        <v>61024</v>
      </c>
      <c r="D169" s="0" t="e">
        <f aca="false">_xlfn.XLOOKUP(I169,calculations!$t:$t,calculations!$s:$s)</f>
        <v>#VALUE!</v>
      </c>
      <c r="E169" s="0" t="str">
        <f aca="false">_xlfn.XLOOKUP(I169,Mapping!$T:$T,Mapping!$Q:$Q)</f>
        <v>GLAC31</v>
      </c>
      <c r="F169" s="1" t="n">
        <v>46203</v>
      </c>
      <c r="G169" s="0" t="n">
        <v>61024</v>
      </c>
      <c r="H169" s="0" t="n">
        <v>61024</v>
      </c>
      <c r="I169" s="0" t="n">
        <v>100235</v>
      </c>
      <c r="J169" s="0" t="s">
        <v>559</v>
      </c>
      <c r="K169" s="0" t="s">
        <v>183</v>
      </c>
      <c r="L169" s="0" t="s">
        <v>183</v>
      </c>
      <c r="M169" s="0" t="s">
        <v>184</v>
      </c>
      <c r="N169" s="0" t="n">
        <v>4940000</v>
      </c>
      <c r="O169" s="0" t="n">
        <v>4940000</v>
      </c>
      <c r="P169" s="0" t="s">
        <v>185</v>
      </c>
      <c r="Q169" s="0" t="s">
        <v>227</v>
      </c>
      <c r="R169" s="0" t="s">
        <v>187</v>
      </c>
      <c r="S169" s="0" t="s">
        <v>560</v>
      </c>
      <c r="T169" s="0" t="s">
        <v>189</v>
      </c>
      <c r="U169" s="0" t="s">
        <v>561</v>
      </c>
      <c r="V169" s="0" t="s">
        <v>562</v>
      </c>
      <c r="W169" s="0" t="s">
        <v>309</v>
      </c>
      <c r="X169" s="0" t="s">
        <v>563</v>
      </c>
      <c r="Y169" s="0" t="n">
        <v>11.8</v>
      </c>
      <c r="Z169" s="0" t="s">
        <v>185</v>
      </c>
      <c r="AA169" s="0" t="n">
        <v>1</v>
      </c>
      <c r="AB169" s="0" t="s">
        <v>187</v>
      </c>
      <c r="AC169" s="0" t="n">
        <v>8152000</v>
      </c>
      <c r="AD169" s="0" t="n">
        <v>8152000</v>
      </c>
      <c r="AE169" s="0" t="n">
        <v>8152000</v>
      </c>
      <c r="AF169" s="0" t="n">
        <v>0.606</v>
      </c>
      <c r="AG169" s="0" t="n">
        <v>4940000</v>
      </c>
      <c r="AH169" s="0" t="n">
        <v>4940000</v>
      </c>
      <c r="AI169" s="0" t="n">
        <v>3212000</v>
      </c>
      <c r="AJ169" s="0" t="n">
        <v>8152000</v>
      </c>
      <c r="AK169" s="0" t="n">
        <v>4940000</v>
      </c>
      <c r="AL169" s="0" t="n">
        <v>4940000</v>
      </c>
      <c r="AN169" s="0" t="n">
        <v>5.679</v>
      </c>
      <c r="AO169" s="0" t="n">
        <v>2.81</v>
      </c>
      <c r="AP169" s="0" t="n">
        <v>4.046</v>
      </c>
      <c r="AQ169" s="0" t="n">
        <v>100</v>
      </c>
      <c r="AR169" s="0" t="n">
        <v>100</v>
      </c>
      <c r="AS169" s="1" t="n">
        <v>43999</v>
      </c>
      <c r="AT169" s="1" t="n">
        <v>50756</v>
      </c>
      <c r="AU169" s="1" t="n">
        <v>46295</v>
      </c>
      <c r="AV169" s="0" t="s">
        <v>564</v>
      </c>
      <c r="AW169" s="0" t="s">
        <v>312</v>
      </c>
      <c r="AX169" s="0" t="s">
        <v>187</v>
      </c>
      <c r="AY169" s="0" t="s">
        <v>565</v>
      </c>
      <c r="AZ169" s="0" t="s">
        <v>566</v>
      </c>
      <c r="BA169" s="0" t="s">
        <v>562</v>
      </c>
      <c r="BB169" s="0" t="s">
        <v>312</v>
      </c>
      <c r="BC169" s="0" t="s">
        <v>567</v>
      </c>
      <c r="BI169" s="0" t="n">
        <v>8152000</v>
      </c>
      <c r="BJ169" s="0" t="n">
        <v>8152000</v>
      </c>
      <c r="BK169" s="0" t="s">
        <v>253</v>
      </c>
      <c r="BL169" s="0" t="s">
        <v>201</v>
      </c>
      <c r="BN169" s="0" t="n">
        <v>11.1</v>
      </c>
      <c r="BO169" s="0" t="n">
        <v>12.47</v>
      </c>
      <c r="BP169" s="0" t="s">
        <v>187</v>
      </c>
      <c r="BQ169" s="0" t="s">
        <v>187</v>
      </c>
      <c r="BR169" s="0" t="s">
        <v>203</v>
      </c>
      <c r="BS169" s="0" t="s">
        <v>568</v>
      </c>
      <c r="BT169" s="0" t="s">
        <v>224</v>
      </c>
      <c r="BU169" s="0" t="s">
        <v>220</v>
      </c>
      <c r="BW169" s="0" t="s">
        <v>206</v>
      </c>
      <c r="BX169" s="0" t="s">
        <v>217</v>
      </c>
      <c r="BY169" s="0" t="n">
        <v>275</v>
      </c>
      <c r="BZ169" s="0" t="n">
        <v>275</v>
      </c>
      <c r="CC169" s="0" t="s">
        <v>239</v>
      </c>
      <c r="CD169" s="0" t="s">
        <v>239</v>
      </c>
      <c r="CE169" s="0" t="s">
        <v>211</v>
      </c>
      <c r="CF169" s="0" t="s">
        <v>211</v>
      </c>
      <c r="CG169" s="0" t="s">
        <v>211</v>
      </c>
      <c r="CH169" s="1" t="n">
        <v>46112</v>
      </c>
      <c r="CI169" s="0" t="n">
        <v>1.2</v>
      </c>
      <c r="CJ169" s="0" t="n">
        <v>3.02</v>
      </c>
      <c r="CK169" s="0" t="n">
        <v>3.17</v>
      </c>
      <c r="CL169" s="0" t="s">
        <v>212</v>
      </c>
      <c r="DA169" s="0" t="n">
        <v>0.77</v>
      </c>
      <c r="DC169" s="0" t="n">
        <v>0.85</v>
      </c>
      <c r="DD169" s="0" t="s">
        <v>212</v>
      </c>
      <c r="ED169" s="0" t="s">
        <v>212</v>
      </c>
      <c r="EE169" s="0" t="n">
        <v>1.05</v>
      </c>
      <c r="EI169" s="0" t="n">
        <v>1.82</v>
      </c>
      <c r="FQ169" s="0" t="n">
        <v>22791785</v>
      </c>
    </row>
    <row r="170" customFormat="false" ht="15" hidden="false" customHeight="false" outlineLevel="0" collapsed="false">
      <c r="B170" s="0" t="str">
        <f aca="false">C170&amp;"x"&amp;I170</f>
        <v>61019x100235</v>
      </c>
      <c r="C170" s="0" t="n">
        <f aca="false">IF(G170="SINGLE",H170,G170)</f>
        <v>61019</v>
      </c>
      <c r="D170" s="0" t="e">
        <f aca="false">_xlfn.XLOOKUP(I170,calculations!$t:$t,calculations!$s:$s)</f>
        <v>#VALUE!</v>
      </c>
      <c r="E170" s="0" t="str">
        <f aca="false">_xlfn.XLOOKUP(I170,Mapping!$T:$T,Mapping!$Q:$Q)</f>
        <v>GLAC31</v>
      </c>
      <c r="F170" s="1" t="n">
        <v>46203</v>
      </c>
      <c r="G170" s="0" t="n">
        <v>61019</v>
      </c>
      <c r="H170" s="0" t="n">
        <v>61019</v>
      </c>
      <c r="I170" s="0" t="n">
        <v>100235</v>
      </c>
      <c r="J170" s="0" t="s">
        <v>559</v>
      </c>
      <c r="K170" s="0" t="s">
        <v>223</v>
      </c>
      <c r="L170" s="0" t="s">
        <v>223</v>
      </c>
      <c r="M170" s="0" t="s">
        <v>184</v>
      </c>
      <c r="N170" s="0" t="n">
        <v>9127000</v>
      </c>
      <c r="O170" s="0" t="n">
        <v>9127000</v>
      </c>
      <c r="P170" s="0" t="s">
        <v>185</v>
      </c>
      <c r="Q170" s="0" t="s">
        <v>227</v>
      </c>
      <c r="R170" s="0" t="s">
        <v>187</v>
      </c>
      <c r="S170" s="0" t="s">
        <v>560</v>
      </c>
      <c r="T170" s="0" t="s">
        <v>189</v>
      </c>
      <c r="U170" s="0" t="s">
        <v>561</v>
      </c>
      <c r="V170" s="0" t="s">
        <v>562</v>
      </c>
      <c r="W170" s="0" t="s">
        <v>309</v>
      </c>
      <c r="X170" s="0" t="s">
        <v>563</v>
      </c>
      <c r="Y170" s="0" t="n">
        <v>11.8</v>
      </c>
      <c r="Z170" s="0" t="s">
        <v>185</v>
      </c>
      <c r="AA170" s="0" t="n">
        <v>1</v>
      </c>
      <c r="AB170" s="0" t="s">
        <v>187</v>
      </c>
      <c r="AC170" s="0" t="n">
        <v>15061000</v>
      </c>
      <c r="AD170" s="0" t="n">
        <v>15061000</v>
      </c>
      <c r="AE170" s="0" t="n">
        <v>15061000</v>
      </c>
      <c r="AF170" s="0" t="n">
        <v>0.606</v>
      </c>
      <c r="AG170" s="0" t="n">
        <v>9127000</v>
      </c>
      <c r="AH170" s="0" t="n">
        <v>9127000</v>
      </c>
      <c r="AI170" s="0" t="n">
        <v>5934000</v>
      </c>
      <c r="AJ170" s="0" t="n">
        <v>15061000</v>
      </c>
      <c r="AK170" s="0" t="n">
        <v>9127000</v>
      </c>
      <c r="AL170" s="0" t="n">
        <v>9127000</v>
      </c>
      <c r="AN170" s="0" t="n">
        <v>2.933</v>
      </c>
      <c r="AO170" s="0" t="n">
        <v>4.362</v>
      </c>
      <c r="AP170" s="0" t="n">
        <v>3.261</v>
      </c>
      <c r="AQ170" s="0" t="n">
        <v>100</v>
      </c>
      <c r="AR170" s="0" t="n">
        <v>100</v>
      </c>
      <c r="AS170" s="1" t="n">
        <v>43999</v>
      </c>
      <c r="AT170" s="1" t="n">
        <v>50756</v>
      </c>
      <c r="AU170" s="1" t="n">
        <v>46295</v>
      </c>
      <c r="AV170" s="0" t="s">
        <v>564</v>
      </c>
      <c r="AW170" s="0" t="s">
        <v>312</v>
      </c>
      <c r="AX170" s="0" t="s">
        <v>187</v>
      </c>
      <c r="AY170" s="0" t="s">
        <v>565</v>
      </c>
      <c r="AZ170" s="0" t="s">
        <v>566</v>
      </c>
      <c r="BA170" s="0" t="s">
        <v>562</v>
      </c>
      <c r="BB170" s="0" t="s">
        <v>312</v>
      </c>
      <c r="BC170" s="0" t="s">
        <v>567</v>
      </c>
      <c r="BI170" s="0" t="n">
        <v>15061000</v>
      </c>
      <c r="BJ170" s="0" t="n">
        <v>15061000</v>
      </c>
      <c r="BK170" s="0" t="s">
        <v>253</v>
      </c>
      <c r="BL170" s="0" t="s">
        <v>201</v>
      </c>
      <c r="BN170" s="0" t="n">
        <v>11.1</v>
      </c>
      <c r="BO170" s="0" t="n">
        <v>12.47</v>
      </c>
      <c r="BP170" s="0" t="s">
        <v>187</v>
      </c>
      <c r="BQ170" s="0" t="s">
        <v>187</v>
      </c>
      <c r="BR170" s="0" t="s">
        <v>203</v>
      </c>
      <c r="BS170" s="0" t="s">
        <v>568</v>
      </c>
      <c r="BT170" s="0" t="s">
        <v>224</v>
      </c>
      <c r="BU170" s="0" t="s">
        <v>224</v>
      </c>
      <c r="BW170" s="0" t="s">
        <v>206</v>
      </c>
      <c r="BX170" s="0" t="s">
        <v>217</v>
      </c>
      <c r="BY170" s="0" t="n">
        <v>275</v>
      </c>
      <c r="BZ170" s="0" t="n">
        <v>275</v>
      </c>
      <c r="CC170" s="0" t="s">
        <v>239</v>
      </c>
      <c r="CD170" s="0" t="s">
        <v>239</v>
      </c>
      <c r="CE170" s="0" t="s">
        <v>211</v>
      </c>
      <c r="CF170" s="0" t="s">
        <v>211</v>
      </c>
      <c r="CG170" s="0" t="s">
        <v>211</v>
      </c>
      <c r="CH170" s="1" t="n">
        <v>46112</v>
      </c>
      <c r="CI170" s="0" t="n">
        <v>1.2</v>
      </c>
      <c r="CJ170" s="0" t="n">
        <v>1.64</v>
      </c>
      <c r="CK170" s="0" t="n">
        <v>1.72</v>
      </c>
      <c r="CL170" s="0" t="s">
        <v>212</v>
      </c>
      <c r="DA170" s="0" t="n">
        <v>0.8</v>
      </c>
      <c r="DC170" s="0" t="n">
        <v>0.85</v>
      </c>
      <c r="DD170" s="0" t="s">
        <v>213</v>
      </c>
      <c r="ED170" s="0" t="s">
        <v>212</v>
      </c>
      <c r="EE170" s="0" t="n">
        <v>1.05</v>
      </c>
      <c r="EI170" s="0" t="n">
        <v>1.23</v>
      </c>
      <c r="FQ170" s="0" t="n">
        <v>19189498</v>
      </c>
    </row>
    <row r="171" customFormat="false" ht="15" hidden="false" customHeight="false" outlineLevel="0" collapsed="false">
      <c r="B171" s="0" t="str">
        <f aca="false">C171&amp;"x"&amp;I171</f>
        <v>61011x100235</v>
      </c>
      <c r="C171" s="0" t="n">
        <f aca="false">IF(G171="SINGLE",H171,G171)</f>
        <v>61011</v>
      </c>
      <c r="D171" s="0" t="e">
        <f aca="false">_xlfn.XLOOKUP(I171,calculations!$t:$t,calculations!$s:$s)</f>
        <v>#VALUE!</v>
      </c>
      <c r="E171" s="0" t="str">
        <f aca="false">_xlfn.XLOOKUP(I171,Mapping!$T:$T,Mapping!$Q:$Q)</f>
        <v>GLAC31</v>
      </c>
      <c r="F171" s="1" t="n">
        <v>46203</v>
      </c>
      <c r="G171" s="0" t="n">
        <v>61011</v>
      </c>
      <c r="H171" s="0" t="n">
        <v>61011</v>
      </c>
      <c r="I171" s="0" t="n">
        <v>100235</v>
      </c>
      <c r="J171" s="0" t="s">
        <v>559</v>
      </c>
      <c r="K171" s="0" t="s">
        <v>421</v>
      </c>
      <c r="L171" s="0" t="s">
        <v>421</v>
      </c>
      <c r="M171" s="0" t="s">
        <v>184</v>
      </c>
      <c r="N171" s="0" t="n">
        <v>10208000</v>
      </c>
      <c r="O171" s="0" t="n">
        <v>10208000</v>
      </c>
      <c r="P171" s="0" t="s">
        <v>185</v>
      </c>
      <c r="Q171" s="0" t="s">
        <v>227</v>
      </c>
      <c r="R171" s="0" t="s">
        <v>187</v>
      </c>
      <c r="S171" s="0" t="s">
        <v>560</v>
      </c>
      <c r="T171" s="0" t="s">
        <v>189</v>
      </c>
      <c r="U171" s="0" t="s">
        <v>561</v>
      </c>
      <c r="V171" s="0" t="s">
        <v>562</v>
      </c>
      <c r="W171" s="0" t="s">
        <v>309</v>
      </c>
      <c r="X171" s="0" t="s">
        <v>563</v>
      </c>
      <c r="Y171" s="0" t="n">
        <v>11.8</v>
      </c>
      <c r="Z171" s="0" t="s">
        <v>185</v>
      </c>
      <c r="AA171" s="0" t="n">
        <v>1</v>
      </c>
      <c r="AB171" s="0" t="s">
        <v>187</v>
      </c>
      <c r="AC171" s="0" t="n">
        <v>16844000</v>
      </c>
      <c r="AD171" s="0" t="n">
        <v>16844000</v>
      </c>
      <c r="AE171" s="0" t="n">
        <v>16844000</v>
      </c>
      <c r="AF171" s="0" t="n">
        <v>0.606</v>
      </c>
      <c r="AG171" s="0" t="n">
        <v>10208000</v>
      </c>
      <c r="AH171" s="0" t="n">
        <v>10208000</v>
      </c>
      <c r="AI171" s="0" t="n">
        <v>6636000</v>
      </c>
      <c r="AJ171" s="0" t="n">
        <v>16844000</v>
      </c>
      <c r="AK171" s="0" t="n">
        <v>10208000</v>
      </c>
      <c r="AL171" s="0" t="n">
        <v>10208000</v>
      </c>
      <c r="AN171" s="0" t="n">
        <v>2.97</v>
      </c>
      <c r="AO171" s="0" t="n">
        <v>3.576</v>
      </c>
      <c r="AP171" s="0" t="n">
        <v>2.765</v>
      </c>
      <c r="AQ171" s="0" t="n">
        <v>100</v>
      </c>
      <c r="AR171" s="0" t="n">
        <v>100</v>
      </c>
      <c r="AS171" s="1" t="n">
        <v>43999</v>
      </c>
      <c r="AT171" s="1" t="n">
        <v>50756</v>
      </c>
      <c r="AU171" s="1" t="n">
        <v>46295</v>
      </c>
      <c r="AV171" s="0" t="s">
        <v>564</v>
      </c>
      <c r="AW171" s="0" t="s">
        <v>312</v>
      </c>
      <c r="AX171" s="0" t="s">
        <v>187</v>
      </c>
      <c r="AY171" s="0" t="s">
        <v>565</v>
      </c>
      <c r="AZ171" s="0" t="s">
        <v>566</v>
      </c>
      <c r="BA171" s="0" t="s">
        <v>562</v>
      </c>
      <c r="BB171" s="0" t="s">
        <v>312</v>
      </c>
      <c r="BC171" s="0" t="s">
        <v>567</v>
      </c>
      <c r="BI171" s="0" t="n">
        <v>16844000</v>
      </c>
      <c r="BJ171" s="0" t="n">
        <v>16844000</v>
      </c>
      <c r="BK171" s="0" t="s">
        <v>253</v>
      </c>
      <c r="BL171" s="0" t="s">
        <v>201</v>
      </c>
      <c r="BN171" s="0" t="n">
        <v>11.1</v>
      </c>
      <c r="BO171" s="0" t="n">
        <v>12.47</v>
      </c>
      <c r="BP171" s="0" t="s">
        <v>187</v>
      </c>
      <c r="BQ171" s="0" t="s">
        <v>187</v>
      </c>
      <c r="BR171" s="0" t="s">
        <v>203</v>
      </c>
      <c r="BS171" s="0" t="s">
        <v>568</v>
      </c>
      <c r="BT171" s="0" t="s">
        <v>224</v>
      </c>
      <c r="BU171" s="0" t="s">
        <v>216</v>
      </c>
      <c r="BW171" s="0" t="s">
        <v>206</v>
      </c>
      <c r="BX171" s="0" t="s">
        <v>207</v>
      </c>
      <c r="BY171" s="0" t="n">
        <v>275</v>
      </c>
      <c r="BZ171" s="0" t="n">
        <v>275</v>
      </c>
      <c r="CC171" s="0" t="s">
        <v>239</v>
      </c>
      <c r="CD171" s="0" t="s">
        <v>239</v>
      </c>
      <c r="CE171" s="0" t="s">
        <v>211</v>
      </c>
      <c r="CF171" s="0" t="s">
        <v>211</v>
      </c>
      <c r="CG171" s="0" t="s">
        <v>211</v>
      </c>
      <c r="CH171" s="1" t="n">
        <v>46112</v>
      </c>
      <c r="CI171" s="0" t="n">
        <v>1.2</v>
      </c>
      <c r="CJ171" s="0" t="n">
        <v>1.24</v>
      </c>
      <c r="CK171" s="0" t="n">
        <v>1.3</v>
      </c>
      <c r="CL171" s="0" t="s">
        <v>213</v>
      </c>
      <c r="DA171" s="0" t="n">
        <v>0.72</v>
      </c>
      <c r="DC171" s="0" t="n">
        <v>0.85</v>
      </c>
      <c r="DD171" s="0" t="s">
        <v>212</v>
      </c>
      <c r="ED171" s="0" t="s">
        <v>212</v>
      </c>
      <c r="EE171" s="0" t="n">
        <v>1.05</v>
      </c>
      <c r="EI171" s="0" t="n">
        <v>1.39</v>
      </c>
      <c r="FQ171" s="0" t="n">
        <v>26670479</v>
      </c>
    </row>
    <row r="172" customFormat="false" ht="15" hidden="false" customHeight="false" outlineLevel="0" collapsed="false">
      <c r="B172" s="0" t="str">
        <f aca="false">C172&amp;"x"&amp;I172</f>
        <v>61001x100235</v>
      </c>
      <c r="C172" s="0" t="n">
        <f aca="false">IF(G172="SINGLE",H172,G172)</f>
        <v>61001</v>
      </c>
      <c r="D172" s="0" t="e">
        <f aca="false">_xlfn.XLOOKUP(I172,calculations!$t:$t,calculations!$s:$s)</f>
        <v>#VALUE!</v>
      </c>
      <c r="E172" s="0" t="str">
        <f aca="false">_xlfn.XLOOKUP(I172,Mapping!$T:$T,Mapping!$Q:$Q)</f>
        <v>GLAC31</v>
      </c>
      <c r="F172" s="1" t="n">
        <v>46203</v>
      </c>
      <c r="G172" s="0" t="n">
        <v>61001</v>
      </c>
      <c r="H172" s="0" t="n">
        <v>61001</v>
      </c>
      <c r="I172" s="0" t="n">
        <v>100235</v>
      </c>
      <c r="J172" s="0" t="s">
        <v>559</v>
      </c>
      <c r="K172" s="0" t="s">
        <v>345</v>
      </c>
      <c r="L172" s="0" t="s">
        <v>345</v>
      </c>
      <c r="M172" s="0" t="s">
        <v>184</v>
      </c>
      <c r="N172" s="0" t="n">
        <v>5550000</v>
      </c>
      <c r="O172" s="0" t="n">
        <v>5550000</v>
      </c>
      <c r="P172" s="0" t="s">
        <v>185</v>
      </c>
      <c r="Q172" s="0" t="s">
        <v>227</v>
      </c>
      <c r="R172" s="0" t="s">
        <v>187</v>
      </c>
      <c r="S172" s="0" t="s">
        <v>560</v>
      </c>
      <c r="T172" s="0" t="s">
        <v>189</v>
      </c>
      <c r="U172" s="0" t="s">
        <v>561</v>
      </c>
      <c r="V172" s="0" t="s">
        <v>562</v>
      </c>
      <c r="W172" s="0" t="s">
        <v>309</v>
      </c>
      <c r="X172" s="0" t="s">
        <v>563</v>
      </c>
      <c r="Y172" s="0" t="n">
        <v>11.8</v>
      </c>
      <c r="Z172" s="0" t="s">
        <v>185</v>
      </c>
      <c r="AA172" s="0" t="n">
        <v>1</v>
      </c>
      <c r="AB172" s="0" t="s">
        <v>187</v>
      </c>
      <c r="AC172" s="0" t="n">
        <v>9158000</v>
      </c>
      <c r="AD172" s="0" t="n">
        <v>9158000</v>
      </c>
      <c r="AE172" s="0" t="n">
        <v>9158000</v>
      </c>
      <c r="AF172" s="0" t="n">
        <v>0.606</v>
      </c>
      <c r="AG172" s="0" t="n">
        <v>5550000</v>
      </c>
      <c r="AH172" s="0" t="n">
        <v>5550000</v>
      </c>
      <c r="AI172" s="0" t="n">
        <v>3608000</v>
      </c>
      <c r="AJ172" s="0" t="n">
        <v>9158000</v>
      </c>
      <c r="AK172" s="0" t="n">
        <v>5550000</v>
      </c>
      <c r="AL172" s="0" t="n">
        <v>5550000</v>
      </c>
      <c r="AN172" s="0" t="n">
        <v>4.289</v>
      </c>
      <c r="AO172" s="0" t="n">
        <v>3.509</v>
      </c>
      <c r="AP172" s="0" t="n">
        <v>3.617</v>
      </c>
      <c r="AQ172" s="0" t="n">
        <v>100</v>
      </c>
      <c r="AR172" s="0" t="n">
        <v>100</v>
      </c>
      <c r="AS172" s="1" t="n">
        <v>43999</v>
      </c>
      <c r="AT172" s="1" t="n">
        <v>50756</v>
      </c>
      <c r="AU172" s="1" t="n">
        <v>46295</v>
      </c>
      <c r="AV172" s="0" t="s">
        <v>564</v>
      </c>
      <c r="AW172" s="0" t="s">
        <v>312</v>
      </c>
      <c r="AX172" s="0" t="s">
        <v>187</v>
      </c>
      <c r="AY172" s="0" t="s">
        <v>565</v>
      </c>
      <c r="AZ172" s="0" t="s">
        <v>566</v>
      </c>
      <c r="BA172" s="0" t="s">
        <v>562</v>
      </c>
      <c r="BB172" s="0" t="s">
        <v>312</v>
      </c>
      <c r="BC172" s="0" t="s">
        <v>567</v>
      </c>
      <c r="BI172" s="0" t="n">
        <v>9158000</v>
      </c>
      <c r="BJ172" s="0" t="n">
        <v>9158000</v>
      </c>
      <c r="BK172" s="0" t="s">
        <v>253</v>
      </c>
      <c r="BL172" s="0" t="s">
        <v>201</v>
      </c>
      <c r="BN172" s="0" t="n">
        <v>11.1</v>
      </c>
      <c r="BO172" s="0" t="n">
        <v>12.47</v>
      </c>
      <c r="BP172" s="0" t="s">
        <v>187</v>
      </c>
      <c r="BQ172" s="0" t="s">
        <v>187</v>
      </c>
      <c r="BR172" s="0" t="s">
        <v>203</v>
      </c>
      <c r="BS172" s="0" t="s">
        <v>568</v>
      </c>
      <c r="BT172" s="0" t="s">
        <v>224</v>
      </c>
      <c r="BU172" s="0" t="s">
        <v>269</v>
      </c>
      <c r="BW172" s="0" t="s">
        <v>206</v>
      </c>
      <c r="BX172" s="0" t="s">
        <v>207</v>
      </c>
      <c r="BY172" s="0" t="n">
        <v>275</v>
      </c>
      <c r="BZ172" s="0" t="n">
        <v>275</v>
      </c>
      <c r="CC172" s="0" t="s">
        <v>239</v>
      </c>
      <c r="CD172" s="0" t="s">
        <v>239</v>
      </c>
      <c r="CE172" s="0" t="s">
        <v>211</v>
      </c>
      <c r="CF172" s="0" t="s">
        <v>211</v>
      </c>
      <c r="CG172" s="0" t="s">
        <v>211</v>
      </c>
      <c r="CH172" s="1" t="n">
        <v>46112</v>
      </c>
      <c r="CI172" s="0" t="n">
        <v>1.2</v>
      </c>
      <c r="CJ172" s="0" t="n">
        <v>2.97</v>
      </c>
      <c r="CK172" s="0" t="n">
        <v>3.12</v>
      </c>
      <c r="CL172" s="0" t="s">
        <v>212</v>
      </c>
      <c r="DA172" s="0" t="n">
        <v>0.53</v>
      </c>
      <c r="DC172" s="0" t="n">
        <v>0.85</v>
      </c>
      <c r="DD172" s="0" t="s">
        <v>212</v>
      </c>
      <c r="ED172" s="0" t="s">
        <v>212</v>
      </c>
      <c r="EE172" s="0" t="n">
        <v>1.05</v>
      </c>
      <c r="EI172" s="0" t="n">
        <v>1.91</v>
      </c>
      <c r="FQ172" s="0" t="n">
        <v>26624728</v>
      </c>
    </row>
    <row r="173" customFormat="false" ht="15" hidden="false" customHeight="false" outlineLevel="0" collapsed="false">
      <c r="B173" s="0" t="str">
        <f aca="false">C173&amp;"x"&amp;I173</f>
        <v>61018x100235</v>
      </c>
      <c r="C173" s="0" t="n">
        <f aca="false">IF(G173="SINGLE",H173,G173)</f>
        <v>61018</v>
      </c>
      <c r="D173" s="0" t="e">
        <f aca="false">_xlfn.XLOOKUP(I173,calculations!$t:$t,calculations!$s:$s)</f>
        <v>#VALUE!</v>
      </c>
      <c r="E173" s="0" t="str">
        <f aca="false">_xlfn.XLOOKUP(I173,Mapping!$T:$T,Mapping!$Q:$Q)</f>
        <v>GLAC31</v>
      </c>
      <c r="F173" s="1" t="n">
        <v>46203</v>
      </c>
      <c r="G173" s="0" t="n">
        <v>61018</v>
      </c>
      <c r="H173" s="0" t="n">
        <v>61018</v>
      </c>
      <c r="I173" s="0" t="n">
        <v>100235</v>
      </c>
      <c r="J173" s="0" t="s">
        <v>559</v>
      </c>
      <c r="K173" s="0" t="s">
        <v>258</v>
      </c>
      <c r="L173" s="0" t="s">
        <v>258</v>
      </c>
      <c r="M173" s="0" t="s">
        <v>184</v>
      </c>
      <c r="N173" s="0" t="n">
        <v>13086000</v>
      </c>
      <c r="O173" s="0" t="n">
        <v>13086000</v>
      </c>
      <c r="P173" s="0" t="s">
        <v>185</v>
      </c>
      <c r="Q173" s="0" t="s">
        <v>227</v>
      </c>
      <c r="R173" s="0" t="s">
        <v>187</v>
      </c>
      <c r="S173" s="0" t="s">
        <v>560</v>
      </c>
      <c r="T173" s="0" t="s">
        <v>189</v>
      </c>
      <c r="U173" s="0" t="s">
        <v>561</v>
      </c>
      <c r="V173" s="0" t="s">
        <v>562</v>
      </c>
      <c r="W173" s="0" t="s">
        <v>309</v>
      </c>
      <c r="X173" s="0" t="s">
        <v>563</v>
      </c>
      <c r="Y173" s="0" t="n">
        <v>11.8</v>
      </c>
      <c r="Z173" s="0" t="s">
        <v>185</v>
      </c>
      <c r="AA173" s="0" t="n">
        <v>1</v>
      </c>
      <c r="AB173" s="0" t="s">
        <v>187</v>
      </c>
      <c r="AC173" s="0" t="n">
        <v>21594000</v>
      </c>
      <c r="AD173" s="0" t="n">
        <v>21594000</v>
      </c>
      <c r="AE173" s="0" t="n">
        <v>21594000</v>
      </c>
      <c r="AF173" s="0" t="n">
        <v>0.606</v>
      </c>
      <c r="AG173" s="0" t="n">
        <v>13086000</v>
      </c>
      <c r="AH173" s="0" t="n">
        <v>13086000</v>
      </c>
      <c r="AI173" s="0" t="n">
        <v>8508000</v>
      </c>
      <c r="AJ173" s="0" t="n">
        <v>21594000</v>
      </c>
      <c r="AK173" s="0" t="n">
        <v>13086000</v>
      </c>
      <c r="AL173" s="0" t="n">
        <v>13086000</v>
      </c>
      <c r="AN173" s="0" t="n">
        <v>5.631</v>
      </c>
      <c r="AO173" s="0" t="n">
        <v>6.436</v>
      </c>
      <c r="AP173" s="0" t="n">
        <v>5.397</v>
      </c>
      <c r="AQ173" s="0" t="n">
        <v>100</v>
      </c>
      <c r="AR173" s="0" t="n">
        <v>100</v>
      </c>
      <c r="AS173" s="1" t="n">
        <v>43999</v>
      </c>
      <c r="AT173" s="1" t="n">
        <v>50756</v>
      </c>
      <c r="AU173" s="1" t="n">
        <v>46295</v>
      </c>
      <c r="AV173" s="0" t="s">
        <v>564</v>
      </c>
      <c r="AW173" s="0" t="s">
        <v>312</v>
      </c>
      <c r="AX173" s="0" t="s">
        <v>187</v>
      </c>
      <c r="AY173" s="0" t="s">
        <v>565</v>
      </c>
      <c r="AZ173" s="0" t="s">
        <v>566</v>
      </c>
      <c r="BA173" s="0" t="s">
        <v>562</v>
      </c>
      <c r="BB173" s="0" t="s">
        <v>312</v>
      </c>
      <c r="BC173" s="0" t="s">
        <v>567</v>
      </c>
      <c r="BI173" s="0" t="n">
        <v>21594000</v>
      </c>
      <c r="BJ173" s="0" t="n">
        <v>21594000</v>
      </c>
      <c r="BK173" s="0" t="s">
        <v>253</v>
      </c>
      <c r="BL173" s="0" t="s">
        <v>201</v>
      </c>
      <c r="BN173" s="0" t="n">
        <v>11.1</v>
      </c>
      <c r="BO173" s="0" t="n">
        <v>12.47</v>
      </c>
      <c r="BP173" s="0" t="s">
        <v>187</v>
      </c>
      <c r="BQ173" s="0" t="s">
        <v>187</v>
      </c>
      <c r="BR173" s="0" t="s">
        <v>203</v>
      </c>
      <c r="BS173" s="0" t="s">
        <v>568</v>
      </c>
      <c r="BT173" s="0" t="s">
        <v>224</v>
      </c>
      <c r="BU173" s="0" t="s">
        <v>205</v>
      </c>
      <c r="BW173" s="0" t="s">
        <v>206</v>
      </c>
      <c r="BX173" s="0" t="s">
        <v>207</v>
      </c>
      <c r="BY173" s="0" t="n">
        <v>275</v>
      </c>
      <c r="BZ173" s="0" t="n">
        <v>275</v>
      </c>
      <c r="CC173" s="0" t="s">
        <v>239</v>
      </c>
      <c r="CD173" s="0" t="s">
        <v>239</v>
      </c>
      <c r="CE173" s="0" t="s">
        <v>211</v>
      </c>
      <c r="CF173" s="0" t="s">
        <v>211</v>
      </c>
      <c r="CG173" s="0" t="s">
        <v>211</v>
      </c>
      <c r="CH173" s="1" t="n">
        <v>46112</v>
      </c>
      <c r="CI173" s="0" t="n">
        <v>1.2</v>
      </c>
      <c r="CJ173" s="0" t="n">
        <v>1.96</v>
      </c>
      <c r="CK173" s="0" t="n">
        <v>2.06</v>
      </c>
      <c r="CL173" s="0" t="s">
        <v>212</v>
      </c>
      <c r="DA173" s="0" t="n">
        <v>0.61</v>
      </c>
      <c r="DC173" s="0" t="n">
        <v>0.85</v>
      </c>
      <c r="DD173" s="0" t="s">
        <v>212</v>
      </c>
      <c r="ED173" s="0" t="s">
        <v>212</v>
      </c>
      <c r="EE173" s="0" t="n">
        <v>1.05</v>
      </c>
      <c r="EI173" s="0" t="n">
        <v>1.62</v>
      </c>
      <c r="FQ173" s="0" t="n">
        <v>24714043</v>
      </c>
    </row>
    <row r="174" customFormat="false" ht="15" hidden="false" customHeight="false" outlineLevel="0" collapsed="false">
      <c r="B174" s="0" t="str">
        <f aca="false">C174&amp;"x"&amp;I174</f>
        <v>61014x100236</v>
      </c>
      <c r="C174" s="0" t="n">
        <f aca="false">IF(G174="SINGLE",H174,G174)</f>
        <v>61014</v>
      </c>
      <c r="D174" s="0" t="e">
        <f aca="false">_xlfn.XLOOKUP(I174,calculations!$t:$t,calculations!$s:$s)</f>
        <v>#VALUE!</v>
      </c>
      <c r="E174" s="0" t="str">
        <f aca="false">_xlfn.XLOOKUP(I174,Mapping!$T:$T,Mapping!$Q:$Q)</f>
        <v>HORI32</v>
      </c>
      <c r="F174" s="1" t="n">
        <v>46203</v>
      </c>
      <c r="G174" s="0" t="n">
        <v>61014</v>
      </c>
      <c r="H174" s="0" t="n">
        <v>61014</v>
      </c>
      <c r="I174" s="0" t="n">
        <v>100236</v>
      </c>
      <c r="J174" s="0" t="s">
        <v>569</v>
      </c>
      <c r="K174" s="0" t="s">
        <v>241</v>
      </c>
      <c r="L174" s="0" t="s">
        <v>241</v>
      </c>
      <c r="M174" s="0" t="s">
        <v>184</v>
      </c>
      <c r="N174" s="0" t="n">
        <v>98133000</v>
      </c>
      <c r="O174" s="0" t="n">
        <v>60204294.48</v>
      </c>
      <c r="P174" s="0" t="s">
        <v>185</v>
      </c>
      <c r="Q174" s="0" t="s">
        <v>227</v>
      </c>
      <c r="R174" s="0" t="s">
        <v>202</v>
      </c>
      <c r="S174" s="0" t="s">
        <v>570</v>
      </c>
      <c r="T174" s="0" t="s">
        <v>189</v>
      </c>
      <c r="U174" s="0" t="s">
        <v>571</v>
      </c>
      <c r="V174" s="0" t="s">
        <v>572</v>
      </c>
      <c r="W174" s="0" t="s">
        <v>231</v>
      </c>
      <c r="X174" s="0" t="s">
        <v>573</v>
      </c>
      <c r="Y174" s="0" t="n">
        <v>11.8</v>
      </c>
      <c r="Z174" s="0" t="s">
        <v>574</v>
      </c>
      <c r="AA174" s="0" t="n">
        <v>1.63</v>
      </c>
      <c r="AB174" s="0" t="s">
        <v>202</v>
      </c>
      <c r="AC174" s="0" t="n">
        <v>108706000</v>
      </c>
      <c r="AD174" s="0" t="n">
        <v>108706000</v>
      </c>
      <c r="AE174" s="0" t="n">
        <v>66690797.55</v>
      </c>
      <c r="AF174" s="0" t="n">
        <v>0.9027</v>
      </c>
      <c r="AG174" s="0" t="n">
        <v>98133000</v>
      </c>
      <c r="AH174" s="0" t="n">
        <v>98133000</v>
      </c>
      <c r="AI174" s="0" t="n">
        <v>10573000</v>
      </c>
      <c r="AJ174" s="0" t="n">
        <v>108706000</v>
      </c>
      <c r="AK174" s="0" t="n">
        <v>98133000</v>
      </c>
      <c r="AL174" s="0" t="n">
        <v>98133000</v>
      </c>
      <c r="AM174" s="0" t="s">
        <v>194</v>
      </c>
      <c r="AN174" s="0" t="n">
        <v>5.515</v>
      </c>
      <c r="AO174" s="0" t="n">
        <v>2.588</v>
      </c>
      <c r="AP174" s="0" t="n">
        <v>6.428</v>
      </c>
      <c r="AQ174" s="0" t="n">
        <v>100</v>
      </c>
      <c r="AR174" s="0" t="n">
        <v>100</v>
      </c>
      <c r="AS174" s="1" t="n">
        <v>44317</v>
      </c>
      <c r="AT174" s="1" t="n">
        <v>52902</v>
      </c>
      <c r="AU174" s="1" t="n">
        <v>46295</v>
      </c>
      <c r="AV174" s="0" t="s">
        <v>575</v>
      </c>
      <c r="AW174" s="0" t="s">
        <v>234</v>
      </c>
      <c r="AX174" s="0" t="s">
        <v>187</v>
      </c>
      <c r="AY174" s="0" t="s">
        <v>576</v>
      </c>
      <c r="AZ174" s="0" t="s">
        <v>577</v>
      </c>
      <c r="BA174" s="0" t="s">
        <v>572</v>
      </c>
      <c r="BB174" s="0" t="s">
        <v>234</v>
      </c>
      <c r="BC174" s="0" t="s">
        <v>578</v>
      </c>
      <c r="BI174" s="0" t="n">
        <v>108706000</v>
      </c>
      <c r="BJ174" s="0" t="n">
        <v>66690797.55</v>
      </c>
      <c r="BK174" s="0" t="s">
        <v>200</v>
      </c>
      <c r="BL174" s="0" t="s">
        <v>201</v>
      </c>
      <c r="BN174" s="0" t="n">
        <v>14.1</v>
      </c>
      <c r="BO174" s="0" t="n">
        <v>18.34</v>
      </c>
      <c r="BP174" s="0" t="s">
        <v>202</v>
      </c>
      <c r="BQ174" s="0" t="s">
        <v>202</v>
      </c>
      <c r="BR174" s="0" t="s">
        <v>203</v>
      </c>
      <c r="BS174" s="0" t="s">
        <v>579</v>
      </c>
      <c r="BT174" s="0" t="s">
        <v>224</v>
      </c>
      <c r="BU174" s="0" t="s">
        <v>220</v>
      </c>
      <c r="BW174" s="0" t="s">
        <v>257</v>
      </c>
      <c r="BX174" s="0" t="s">
        <v>207</v>
      </c>
      <c r="BY174" s="0" t="n">
        <v>120</v>
      </c>
      <c r="BZ174" s="0" t="n">
        <v>120</v>
      </c>
      <c r="CB174" s="0" t="s">
        <v>208</v>
      </c>
      <c r="CC174" s="0" t="s">
        <v>256</v>
      </c>
      <c r="CD174" s="0" t="s">
        <v>256</v>
      </c>
      <c r="CE174" s="0" t="s">
        <v>211</v>
      </c>
      <c r="CF174" s="0" t="s">
        <v>211</v>
      </c>
      <c r="CG174" s="0" t="s">
        <v>211</v>
      </c>
      <c r="CH174" s="1" t="n">
        <v>46112</v>
      </c>
      <c r="CI174" s="0" t="n">
        <v>1.2</v>
      </c>
      <c r="CJ174" s="0" t="n">
        <v>3.23</v>
      </c>
      <c r="CK174" s="0" t="n">
        <v>3.39</v>
      </c>
      <c r="CL174" s="0" t="s">
        <v>212</v>
      </c>
      <c r="DA174" s="0" t="n">
        <v>0.47</v>
      </c>
      <c r="DC174" s="0" t="n">
        <v>0.85</v>
      </c>
      <c r="DD174" s="0" t="s">
        <v>212</v>
      </c>
      <c r="ED174" s="0" t="s">
        <v>212</v>
      </c>
      <c r="EE174" s="0" t="n">
        <v>1.05</v>
      </c>
      <c r="EI174" s="0" t="n">
        <v>1.83</v>
      </c>
      <c r="FQ174" s="0" t="n">
        <v>83083367</v>
      </c>
    </row>
    <row r="175" customFormat="false" ht="15" hidden="false" customHeight="false" outlineLevel="0" collapsed="false">
      <c r="B175" s="0" t="str">
        <f aca="false">C175&amp;"x"&amp;I175</f>
        <v>61008x100236</v>
      </c>
      <c r="C175" s="0" t="n">
        <f aca="false">IF(G175="SINGLE",H175,G175)</f>
        <v>61008</v>
      </c>
      <c r="D175" s="0" t="e">
        <f aca="false">_xlfn.XLOOKUP(I175,calculations!$t:$t,calculations!$s:$s)</f>
        <v>#VALUE!</v>
      </c>
      <c r="E175" s="0" t="str">
        <f aca="false">_xlfn.XLOOKUP(I175,Mapping!$T:$T,Mapping!$Q:$Q)</f>
        <v>HORI32</v>
      </c>
      <c r="F175" s="1" t="n">
        <v>46203</v>
      </c>
      <c r="G175" s="0" t="n">
        <v>61008</v>
      </c>
      <c r="H175" s="0" t="n">
        <v>61008</v>
      </c>
      <c r="I175" s="0" t="n">
        <v>100236</v>
      </c>
      <c r="J175" s="0" t="s">
        <v>569</v>
      </c>
      <c r="K175" s="0" t="s">
        <v>277</v>
      </c>
      <c r="L175" s="0" t="s">
        <v>277</v>
      </c>
      <c r="M175" s="0" t="s">
        <v>184</v>
      </c>
      <c r="N175" s="0" t="n">
        <v>68168000</v>
      </c>
      <c r="O175" s="0" t="n">
        <v>41820858.9</v>
      </c>
      <c r="P175" s="0" t="s">
        <v>185</v>
      </c>
      <c r="Q175" s="0" t="s">
        <v>227</v>
      </c>
      <c r="R175" s="0" t="s">
        <v>202</v>
      </c>
      <c r="S175" s="0" t="s">
        <v>570</v>
      </c>
      <c r="T175" s="0" t="s">
        <v>189</v>
      </c>
      <c r="U175" s="0" t="s">
        <v>571</v>
      </c>
      <c r="V175" s="0" t="s">
        <v>572</v>
      </c>
      <c r="W175" s="0" t="s">
        <v>231</v>
      </c>
      <c r="X175" s="0" t="s">
        <v>573</v>
      </c>
      <c r="Y175" s="0" t="n">
        <v>11.8</v>
      </c>
      <c r="Z175" s="0" t="s">
        <v>574</v>
      </c>
      <c r="AA175" s="0" t="n">
        <v>1.63</v>
      </c>
      <c r="AB175" s="0" t="s">
        <v>202</v>
      </c>
      <c r="AC175" s="0" t="n">
        <v>75512000</v>
      </c>
      <c r="AD175" s="0" t="n">
        <v>75512000</v>
      </c>
      <c r="AE175" s="0" t="n">
        <v>46326380.37</v>
      </c>
      <c r="AF175" s="0" t="n">
        <v>0.9027</v>
      </c>
      <c r="AG175" s="0" t="n">
        <v>68168000</v>
      </c>
      <c r="AH175" s="0" t="n">
        <v>68168000</v>
      </c>
      <c r="AI175" s="0" t="n">
        <v>7344000</v>
      </c>
      <c r="AJ175" s="0" t="n">
        <v>75512000</v>
      </c>
      <c r="AK175" s="0" t="n">
        <v>68168000</v>
      </c>
      <c r="AL175" s="0" t="n">
        <v>68168000</v>
      </c>
      <c r="AM175" s="0" t="s">
        <v>194</v>
      </c>
      <c r="AN175" s="0" t="n">
        <v>6.478</v>
      </c>
      <c r="AO175" s="0" t="n">
        <v>5.26</v>
      </c>
      <c r="AP175" s="0" t="n">
        <v>5.297</v>
      </c>
      <c r="AQ175" s="0" t="n">
        <v>100</v>
      </c>
      <c r="AR175" s="0" t="n">
        <v>100</v>
      </c>
      <c r="AS175" s="1" t="n">
        <v>44317</v>
      </c>
      <c r="AT175" s="1" t="n">
        <v>52902</v>
      </c>
      <c r="AU175" s="1" t="n">
        <v>46295</v>
      </c>
      <c r="AV175" s="0" t="s">
        <v>575</v>
      </c>
      <c r="AW175" s="0" t="s">
        <v>234</v>
      </c>
      <c r="AX175" s="0" t="s">
        <v>187</v>
      </c>
      <c r="AY175" s="0" t="s">
        <v>576</v>
      </c>
      <c r="AZ175" s="0" t="s">
        <v>577</v>
      </c>
      <c r="BA175" s="0" t="s">
        <v>572</v>
      </c>
      <c r="BB175" s="0" t="s">
        <v>234</v>
      </c>
      <c r="BC175" s="0" t="s">
        <v>578</v>
      </c>
      <c r="BI175" s="0" t="n">
        <v>75512000</v>
      </c>
      <c r="BJ175" s="0" t="n">
        <v>46326380.37</v>
      </c>
      <c r="BK175" s="0" t="s">
        <v>200</v>
      </c>
      <c r="BL175" s="0" t="s">
        <v>201</v>
      </c>
      <c r="BN175" s="0" t="n">
        <v>14.1</v>
      </c>
      <c r="BO175" s="0" t="n">
        <v>18.34</v>
      </c>
      <c r="BP175" s="0" t="s">
        <v>202</v>
      </c>
      <c r="BQ175" s="0" t="s">
        <v>202</v>
      </c>
      <c r="BR175" s="0" t="s">
        <v>203</v>
      </c>
      <c r="BS175" s="0" t="s">
        <v>579</v>
      </c>
      <c r="BT175" s="0" t="s">
        <v>224</v>
      </c>
      <c r="BU175" s="0" t="s">
        <v>216</v>
      </c>
      <c r="BW175" s="0" t="s">
        <v>206</v>
      </c>
      <c r="BX175" s="0" t="s">
        <v>217</v>
      </c>
      <c r="BY175" s="0" t="n">
        <v>120</v>
      </c>
      <c r="BZ175" s="0" t="n">
        <v>120</v>
      </c>
      <c r="CB175" s="0" t="s">
        <v>208</v>
      </c>
      <c r="CC175" s="0" t="s">
        <v>256</v>
      </c>
      <c r="CD175" s="0" t="s">
        <v>256</v>
      </c>
      <c r="CE175" s="0" t="s">
        <v>211</v>
      </c>
      <c r="CF175" s="0" t="s">
        <v>211</v>
      </c>
      <c r="CG175" s="0" t="s">
        <v>211</v>
      </c>
      <c r="CH175" s="1" t="n">
        <v>46112</v>
      </c>
      <c r="CI175" s="0" t="n">
        <v>1.2</v>
      </c>
      <c r="CJ175" s="0" t="n">
        <v>1.79</v>
      </c>
      <c r="CK175" s="0" t="n">
        <v>1.88</v>
      </c>
      <c r="CL175" s="0" t="s">
        <v>212</v>
      </c>
      <c r="DA175" s="0" t="n">
        <v>0.56</v>
      </c>
      <c r="DC175" s="0" t="n">
        <v>0.85</v>
      </c>
      <c r="DD175" s="0" t="s">
        <v>212</v>
      </c>
      <c r="ED175" s="0" t="s">
        <v>212</v>
      </c>
      <c r="EE175" s="0" t="n">
        <v>1.05</v>
      </c>
      <c r="EI175" s="0" t="n">
        <v>1.85</v>
      </c>
      <c r="FQ175" s="0" t="n">
        <v>79269914</v>
      </c>
    </row>
    <row r="176" customFormat="false" ht="15" hidden="false" customHeight="false" outlineLevel="0" collapsed="false">
      <c r="B176" s="0" t="str">
        <f aca="false">C176&amp;"x"&amp;I176</f>
        <v>61013x100237</v>
      </c>
      <c r="C176" s="0" t="n">
        <f aca="false">IF(G176="SINGLE",H176,G176)</f>
        <v>61013</v>
      </c>
      <c r="D176" s="0" t="e">
        <f aca="false">_xlfn.XLOOKUP(I176,calculations!$t:$t,calculations!$s:$s)</f>
        <v>#VALUE!</v>
      </c>
      <c r="E176" s="0" t="str">
        <f aca="false">_xlfn.XLOOKUP(I176,Mapping!$T:$T,Mapping!$Q:$Q)</f>
        <v>INDI33</v>
      </c>
      <c r="F176" s="1" t="n">
        <v>46203</v>
      </c>
      <c r="G176" s="0" t="n">
        <v>61013</v>
      </c>
      <c r="H176" s="0" t="n">
        <v>61013</v>
      </c>
      <c r="I176" s="0" t="n">
        <v>100237</v>
      </c>
      <c r="J176" s="0" t="s">
        <v>580</v>
      </c>
      <c r="K176" s="0" t="s">
        <v>260</v>
      </c>
      <c r="L176" s="0" t="s">
        <v>260</v>
      </c>
      <c r="M176" s="0" t="s">
        <v>184</v>
      </c>
      <c r="N176" s="0" t="n">
        <v>19778000</v>
      </c>
      <c r="O176" s="0" t="n">
        <v>23132163.74</v>
      </c>
      <c r="P176" s="0" t="s">
        <v>185</v>
      </c>
      <c r="Q176" s="0" t="s">
        <v>186</v>
      </c>
      <c r="R176" s="0" t="s">
        <v>202</v>
      </c>
      <c r="S176" s="0" t="s">
        <v>581</v>
      </c>
      <c r="T176" s="0" t="s">
        <v>189</v>
      </c>
      <c r="U176" s="0" t="s">
        <v>229</v>
      </c>
      <c r="V176" s="0" t="s">
        <v>230</v>
      </c>
      <c r="W176" s="0" t="s">
        <v>336</v>
      </c>
      <c r="X176" s="0" t="s">
        <v>582</v>
      </c>
      <c r="Y176" s="0" t="n">
        <v>11.1</v>
      </c>
      <c r="Z176" s="0" t="s">
        <v>219</v>
      </c>
      <c r="AA176" s="0" t="n">
        <v>0.855</v>
      </c>
      <c r="AB176" s="0" t="s">
        <v>202</v>
      </c>
      <c r="AC176" s="0" t="n">
        <v>21157000</v>
      </c>
      <c r="AD176" s="0" t="n">
        <v>21157000</v>
      </c>
      <c r="AE176" s="0" t="n">
        <v>24745029.24</v>
      </c>
      <c r="AF176" s="0" t="n">
        <v>0.9348</v>
      </c>
      <c r="AG176" s="0" t="n">
        <v>19778000</v>
      </c>
      <c r="AH176" s="0" t="n">
        <v>19778000</v>
      </c>
      <c r="AI176" s="0" t="n">
        <v>1379000</v>
      </c>
      <c r="AJ176" s="0" t="n">
        <v>21157000</v>
      </c>
      <c r="AK176" s="0" t="n">
        <v>19778000</v>
      </c>
      <c r="AL176" s="0" t="n">
        <v>19778000</v>
      </c>
      <c r="AM176" s="0" t="s">
        <v>194</v>
      </c>
      <c r="AN176" s="0" t="n">
        <v>3.03</v>
      </c>
      <c r="AO176" s="0" t="n">
        <v>4.134</v>
      </c>
      <c r="AP176" s="0" t="n">
        <v>5.468</v>
      </c>
      <c r="AQ176" s="0" t="n">
        <v>100</v>
      </c>
      <c r="AR176" s="0" t="n">
        <v>100</v>
      </c>
      <c r="AS176" s="1" t="n">
        <v>44330</v>
      </c>
      <c r="AT176" s="1" t="n">
        <v>52000</v>
      </c>
      <c r="AU176" s="1" t="n">
        <v>46295</v>
      </c>
      <c r="AV176" s="0" t="s">
        <v>583</v>
      </c>
      <c r="AW176" s="0" t="s">
        <v>384</v>
      </c>
      <c r="AX176" s="0" t="s">
        <v>187</v>
      </c>
      <c r="AY176" s="0" t="s">
        <v>584</v>
      </c>
      <c r="AZ176" s="0" t="s">
        <v>585</v>
      </c>
      <c r="BA176" s="0" t="s">
        <v>230</v>
      </c>
      <c r="BB176" s="0" t="s">
        <v>384</v>
      </c>
      <c r="BC176" s="0" t="s">
        <v>586</v>
      </c>
      <c r="BI176" s="0" t="n">
        <v>21157000</v>
      </c>
      <c r="BJ176" s="0" t="n">
        <v>24745029.24</v>
      </c>
      <c r="BK176" s="0" t="s">
        <v>200</v>
      </c>
      <c r="BL176" s="0" t="s">
        <v>201</v>
      </c>
      <c r="BN176" s="0" t="n">
        <v>12.6</v>
      </c>
      <c r="BO176" s="0" t="n">
        <v>15.87</v>
      </c>
      <c r="BP176" s="0" t="s">
        <v>202</v>
      </c>
      <c r="BQ176" s="0" t="s">
        <v>187</v>
      </c>
      <c r="BR176" s="0" t="s">
        <v>203</v>
      </c>
      <c r="BS176" s="0" t="s">
        <v>587</v>
      </c>
      <c r="BT176" s="0" t="s">
        <v>205</v>
      </c>
      <c r="BU176" s="0" t="s">
        <v>255</v>
      </c>
      <c r="BW176" s="0" t="s">
        <v>257</v>
      </c>
      <c r="BX176" s="0" t="s">
        <v>207</v>
      </c>
      <c r="BY176" s="0" t="n">
        <v>360</v>
      </c>
      <c r="BZ176" s="0" t="n">
        <v>360</v>
      </c>
      <c r="CB176" s="0" t="s">
        <v>208</v>
      </c>
      <c r="CC176" s="0" t="s">
        <v>209</v>
      </c>
      <c r="CD176" s="0" t="s">
        <v>209</v>
      </c>
      <c r="CE176" s="0" t="s">
        <v>209</v>
      </c>
      <c r="CF176" s="0" t="s">
        <v>211</v>
      </c>
      <c r="CG176" s="0" t="s">
        <v>211</v>
      </c>
      <c r="CH176" s="1" t="n">
        <v>46112</v>
      </c>
      <c r="CI176" s="0" t="n">
        <v>1.2</v>
      </c>
      <c r="CJ176" s="0" t="n">
        <v>1.45</v>
      </c>
      <c r="CK176" s="0" t="n">
        <v>1.52</v>
      </c>
      <c r="CL176" s="0" t="s">
        <v>212</v>
      </c>
      <c r="DA176" s="0" t="n">
        <v>0.63</v>
      </c>
      <c r="DC176" s="0" t="n">
        <v>0.85</v>
      </c>
      <c r="DD176" s="0" t="s">
        <v>212</v>
      </c>
      <c r="ED176" s="0" t="s">
        <v>212</v>
      </c>
      <c r="EE176" s="0" t="n">
        <v>1.05</v>
      </c>
      <c r="EI176" s="0" t="n">
        <v>1.46</v>
      </c>
      <c r="FQ176" s="0" t="n">
        <v>24646112</v>
      </c>
    </row>
    <row r="177" customFormat="false" ht="15" hidden="false" customHeight="false" outlineLevel="0" collapsed="false">
      <c r="B177" s="0" t="str">
        <f aca="false">C177&amp;"x"&amp;I177</f>
        <v>61011x100237</v>
      </c>
      <c r="C177" s="0" t="n">
        <f aca="false">IF(G177="SINGLE",H177,G177)</f>
        <v>61011</v>
      </c>
      <c r="D177" s="0" t="e">
        <f aca="false">_xlfn.XLOOKUP(I177,calculations!$t:$t,calculations!$s:$s)</f>
        <v>#VALUE!</v>
      </c>
      <c r="E177" s="0" t="str">
        <f aca="false">_xlfn.XLOOKUP(I177,Mapping!$T:$T,Mapping!$Q:$Q)</f>
        <v>INDI33</v>
      </c>
      <c r="F177" s="1" t="n">
        <v>46203</v>
      </c>
      <c r="G177" s="0" t="n">
        <v>61011</v>
      </c>
      <c r="H177" s="0" t="n">
        <v>61011</v>
      </c>
      <c r="I177" s="0" t="n">
        <v>100237</v>
      </c>
      <c r="J177" s="0" t="s">
        <v>580</v>
      </c>
      <c r="K177" s="0" t="s">
        <v>421</v>
      </c>
      <c r="L177" s="0" t="s">
        <v>421</v>
      </c>
      <c r="M177" s="0" t="s">
        <v>184</v>
      </c>
      <c r="N177" s="0" t="n">
        <v>28053000</v>
      </c>
      <c r="O177" s="0" t="n">
        <v>32810526.32</v>
      </c>
      <c r="P177" s="0" t="s">
        <v>185</v>
      </c>
      <c r="Q177" s="0" t="s">
        <v>186</v>
      </c>
      <c r="R177" s="0" t="s">
        <v>202</v>
      </c>
      <c r="S177" s="0" t="s">
        <v>581</v>
      </c>
      <c r="T177" s="0" t="s">
        <v>189</v>
      </c>
      <c r="U177" s="0" t="s">
        <v>229</v>
      </c>
      <c r="V177" s="0" t="s">
        <v>230</v>
      </c>
      <c r="W177" s="0" t="s">
        <v>336</v>
      </c>
      <c r="X177" s="0" t="s">
        <v>582</v>
      </c>
      <c r="Y177" s="0" t="n">
        <v>11.1</v>
      </c>
      <c r="Z177" s="0" t="s">
        <v>219</v>
      </c>
      <c r="AA177" s="0" t="n">
        <v>0.855</v>
      </c>
      <c r="AB177" s="0" t="s">
        <v>202</v>
      </c>
      <c r="AC177" s="0" t="n">
        <v>30009000</v>
      </c>
      <c r="AD177" s="0" t="n">
        <v>30009000</v>
      </c>
      <c r="AE177" s="0" t="n">
        <v>35098245.61</v>
      </c>
      <c r="AF177" s="0" t="n">
        <v>0.9348</v>
      </c>
      <c r="AG177" s="0" t="n">
        <v>28053000</v>
      </c>
      <c r="AH177" s="0" t="n">
        <v>28053000</v>
      </c>
      <c r="AI177" s="0" t="n">
        <v>1956000</v>
      </c>
      <c r="AJ177" s="0" t="n">
        <v>30009000</v>
      </c>
      <c r="AK177" s="0" t="n">
        <v>28053000</v>
      </c>
      <c r="AL177" s="0" t="n">
        <v>28053000</v>
      </c>
      <c r="AM177" s="0" t="s">
        <v>194</v>
      </c>
      <c r="AN177" s="0" t="n">
        <v>3.376</v>
      </c>
      <c r="AO177" s="0" t="n">
        <v>2.825</v>
      </c>
      <c r="AP177" s="0" t="n">
        <v>5.469</v>
      </c>
      <c r="AQ177" s="0" t="n">
        <v>100</v>
      </c>
      <c r="AR177" s="0" t="n">
        <v>100</v>
      </c>
      <c r="AS177" s="1" t="n">
        <v>44330</v>
      </c>
      <c r="AT177" s="1" t="n">
        <v>52000</v>
      </c>
      <c r="AU177" s="1" t="n">
        <v>46295</v>
      </c>
      <c r="AV177" s="0" t="s">
        <v>583</v>
      </c>
      <c r="AW177" s="0" t="s">
        <v>384</v>
      </c>
      <c r="AX177" s="0" t="s">
        <v>187</v>
      </c>
      <c r="AY177" s="0" t="s">
        <v>584</v>
      </c>
      <c r="AZ177" s="0" t="s">
        <v>585</v>
      </c>
      <c r="BA177" s="0" t="s">
        <v>230</v>
      </c>
      <c r="BB177" s="0" t="s">
        <v>384</v>
      </c>
      <c r="BC177" s="0" t="s">
        <v>586</v>
      </c>
      <c r="BI177" s="0" t="n">
        <v>30009000</v>
      </c>
      <c r="BJ177" s="0" t="n">
        <v>35098245.61</v>
      </c>
      <c r="BK177" s="0" t="s">
        <v>200</v>
      </c>
      <c r="BL177" s="0" t="s">
        <v>201</v>
      </c>
      <c r="BN177" s="0" t="n">
        <v>12.6</v>
      </c>
      <c r="BO177" s="0" t="n">
        <v>15.87</v>
      </c>
      <c r="BP177" s="0" t="s">
        <v>202</v>
      </c>
      <c r="BQ177" s="0" t="s">
        <v>187</v>
      </c>
      <c r="BR177" s="0" t="s">
        <v>203</v>
      </c>
      <c r="BS177" s="0" t="s">
        <v>587</v>
      </c>
      <c r="BT177" s="0" t="s">
        <v>205</v>
      </c>
      <c r="BU177" s="0" t="s">
        <v>205</v>
      </c>
      <c r="BW177" s="0" t="s">
        <v>206</v>
      </c>
      <c r="BX177" s="0" t="s">
        <v>217</v>
      </c>
      <c r="BY177" s="0" t="n">
        <v>360</v>
      </c>
      <c r="BZ177" s="0" t="n">
        <v>360</v>
      </c>
      <c r="CB177" s="0" t="s">
        <v>208</v>
      </c>
      <c r="CC177" s="0" t="s">
        <v>209</v>
      </c>
      <c r="CD177" s="0" t="s">
        <v>209</v>
      </c>
      <c r="CE177" s="0" t="s">
        <v>209</v>
      </c>
      <c r="CF177" s="0" t="s">
        <v>211</v>
      </c>
      <c r="CG177" s="0" t="s">
        <v>211</v>
      </c>
      <c r="CH177" s="1" t="n">
        <v>46112</v>
      </c>
      <c r="CI177" s="0" t="n">
        <v>1.2</v>
      </c>
      <c r="CJ177" s="0" t="n">
        <v>2.77</v>
      </c>
      <c r="CK177" s="0" t="n">
        <v>2.91</v>
      </c>
      <c r="CL177" s="0" t="s">
        <v>212</v>
      </c>
      <c r="DA177" s="0" t="n">
        <v>0.49</v>
      </c>
      <c r="DC177" s="0" t="n">
        <v>0.85</v>
      </c>
      <c r="DD177" s="0" t="s">
        <v>212</v>
      </c>
      <c r="ED177" s="0" t="s">
        <v>212</v>
      </c>
      <c r="EE177" s="0" t="n">
        <v>1.05</v>
      </c>
      <c r="EI177" s="0" t="n">
        <v>1.32</v>
      </c>
      <c r="FQ177" s="0" t="n">
        <v>22840759</v>
      </c>
    </row>
    <row r="178" customFormat="false" ht="15" hidden="false" customHeight="false" outlineLevel="0" collapsed="false">
      <c r="B178" s="0" t="str">
        <f aca="false">C178&amp;"x"&amp;I178</f>
        <v>61012x100237</v>
      </c>
      <c r="C178" s="0" t="n">
        <f aca="false">IF(G178="SINGLE",H178,G178)</f>
        <v>61012</v>
      </c>
      <c r="D178" s="0" t="e">
        <f aca="false">_xlfn.XLOOKUP(I178,calculations!$t:$t,calculations!$s:$s)</f>
        <v>#VALUE!</v>
      </c>
      <c r="E178" s="0" t="str">
        <f aca="false">_xlfn.XLOOKUP(I178,Mapping!$T:$T,Mapping!$Q:$Q)</f>
        <v>INDI33</v>
      </c>
      <c r="F178" s="1" t="n">
        <v>46203</v>
      </c>
      <c r="G178" s="0" t="n">
        <v>61012</v>
      </c>
      <c r="H178" s="0" t="n">
        <v>61012</v>
      </c>
      <c r="I178" s="0" t="n">
        <v>100237</v>
      </c>
      <c r="J178" s="0" t="s">
        <v>580</v>
      </c>
      <c r="K178" s="0" t="s">
        <v>332</v>
      </c>
      <c r="L178" s="0" t="s">
        <v>332</v>
      </c>
      <c r="M178" s="0" t="s">
        <v>184</v>
      </c>
      <c r="N178" s="0" t="n">
        <v>39844000</v>
      </c>
      <c r="O178" s="0" t="n">
        <v>46601169.59</v>
      </c>
      <c r="P178" s="0" t="s">
        <v>219</v>
      </c>
      <c r="Q178" s="0" t="s">
        <v>186</v>
      </c>
      <c r="R178" s="0" t="s">
        <v>202</v>
      </c>
      <c r="S178" s="0" t="s">
        <v>581</v>
      </c>
      <c r="T178" s="0" t="s">
        <v>189</v>
      </c>
      <c r="U178" s="0" t="s">
        <v>229</v>
      </c>
      <c r="V178" s="0" t="s">
        <v>230</v>
      </c>
      <c r="W178" s="0" t="s">
        <v>336</v>
      </c>
      <c r="X178" s="0" t="s">
        <v>582</v>
      </c>
      <c r="Y178" s="0" t="n">
        <v>11.1</v>
      </c>
      <c r="Z178" s="0" t="s">
        <v>219</v>
      </c>
      <c r="AA178" s="0" t="n">
        <v>0.855</v>
      </c>
      <c r="AB178" s="0" t="s">
        <v>202</v>
      </c>
      <c r="AC178" s="0" t="n">
        <v>42622000</v>
      </c>
      <c r="AD178" s="0" t="n">
        <v>42622000</v>
      </c>
      <c r="AE178" s="0" t="n">
        <v>49850292.4</v>
      </c>
      <c r="AF178" s="0" t="n">
        <v>0.9348</v>
      </c>
      <c r="AG178" s="0" t="n">
        <v>39844000</v>
      </c>
      <c r="AH178" s="0" t="n">
        <v>39844000</v>
      </c>
      <c r="AI178" s="0" t="n">
        <v>2778000</v>
      </c>
      <c r="AJ178" s="0" t="n">
        <v>42622000</v>
      </c>
      <c r="AK178" s="0" t="n">
        <v>39844000</v>
      </c>
      <c r="AL178" s="0" t="n">
        <v>39844000</v>
      </c>
      <c r="AM178" s="0" t="s">
        <v>194</v>
      </c>
      <c r="AN178" s="0" t="n">
        <v>6.06</v>
      </c>
      <c r="AO178" s="0" t="n">
        <v>5.581</v>
      </c>
      <c r="AP178" s="0" t="n">
        <v>5.613</v>
      </c>
      <c r="AQ178" s="0" t="n">
        <v>100</v>
      </c>
      <c r="AR178" s="0" t="n">
        <v>100</v>
      </c>
      <c r="AS178" s="1" t="n">
        <v>44330</v>
      </c>
      <c r="AT178" s="1" t="n">
        <v>52000</v>
      </c>
      <c r="AU178" s="1" t="n">
        <v>46295</v>
      </c>
      <c r="AV178" s="0" t="s">
        <v>583</v>
      </c>
      <c r="AW178" s="0" t="s">
        <v>384</v>
      </c>
      <c r="AX178" s="0" t="s">
        <v>187</v>
      </c>
      <c r="AY178" s="0" t="s">
        <v>584</v>
      </c>
      <c r="AZ178" s="0" t="s">
        <v>585</v>
      </c>
      <c r="BA178" s="0" t="s">
        <v>230</v>
      </c>
      <c r="BB178" s="0" t="s">
        <v>384</v>
      </c>
      <c r="BC178" s="0" t="s">
        <v>586</v>
      </c>
      <c r="BI178" s="0" t="n">
        <v>42622000</v>
      </c>
      <c r="BJ178" s="0" t="n">
        <v>49850292.4</v>
      </c>
      <c r="BK178" s="0" t="s">
        <v>200</v>
      </c>
      <c r="BL178" s="0" t="s">
        <v>201</v>
      </c>
      <c r="BN178" s="0" t="n">
        <v>12.6</v>
      </c>
      <c r="BO178" s="0" t="n">
        <v>15.87</v>
      </c>
      <c r="BP178" s="0" t="s">
        <v>202</v>
      </c>
      <c r="BQ178" s="0" t="s">
        <v>187</v>
      </c>
      <c r="BR178" s="0" t="s">
        <v>203</v>
      </c>
      <c r="BS178" s="0" t="s">
        <v>587</v>
      </c>
      <c r="BT178" s="0" t="s">
        <v>205</v>
      </c>
      <c r="BU178" s="0" t="s">
        <v>205</v>
      </c>
      <c r="BW178" s="0" t="s">
        <v>206</v>
      </c>
      <c r="BX178" s="0" t="s">
        <v>207</v>
      </c>
      <c r="BY178" s="0" t="n">
        <v>360</v>
      </c>
      <c r="BZ178" s="0" t="n">
        <v>360</v>
      </c>
      <c r="CB178" s="0" t="s">
        <v>208</v>
      </c>
      <c r="CC178" s="0" t="s">
        <v>209</v>
      </c>
      <c r="CD178" s="0" t="s">
        <v>209</v>
      </c>
      <c r="CE178" s="0" t="s">
        <v>209</v>
      </c>
      <c r="CF178" s="0" t="s">
        <v>211</v>
      </c>
      <c r="CG178" s="0" t="s">
        <v>211</v>
      </c>
      <c r="CH178" s="1" t="n">
        <v>46112</v>
      </c>
      <c r="CI178" s="0" t="n">
        <v>1.2</v>
      </c>
      <c r="CJ178" s="0" t="n">
        <v>3.37</v>
      </c>
      <c r="CK178" s="0" t="n">
        <v>3.54</v>
      </c>
      <c r="CL178" s="0" t="s">
        <v>212</v>
      </c>
      <c r="DA178" s="0" t="n">
        <v>0.5</v>
      </c>
      <c r="DC178" s="0" t="n">
        <v>0.85</v>
      </c>
      <c r="DD178" s="0" t="s">
        <v>212</v>
      </c>
      <c r="ED178" s="0" t="s">
        <v>212</v>
      </c>
      <c r="EE178" s="0" t="n">
        <v>1.05</v>
      </c>
      <c r="EI178" s="0" t="n">
        <v>1.7</v>
      </c>
      <c r="FQ178" s="0" t="n">
        <v>28714864</v>
      </c>
    </row>
    <row r="179" customFormat="false" ht="15" hidden="false" customHeight="false" outlineLevel="0" collapsed="false">
      <c r="B179" s="0" t="str">
        <f aca="false">C179&amp;"x"&amp;I179</f>
        <v>61006x100237</v>
      </c>
      <c r="C179" s="0" t="n">
        <f aca="false">IF(G179="SINGLE",H179,G179)</f>
        <v>61006</v>
      </c>
      <c r="D179" s="0" t="e">
        <f aca="false">_xlfn.XLOOKUP(I179,calculations!$t:$t,calculations!$s:$s)</f>
        <v>#VALUE!</v>
      </c>
      <c r="E179" s="0" t="str">
        <f aca="false">_xlfn.XLOOKUP(I179,Mapping!$T:$T,Mapping!$Q:$Q)</f>
        <v>INDI33</v>
      </c>
      <c r="F179" s="1" t="n">
        <v>46203</v>
      </c>
      <c r="G179" s="0" t="n">
        <v>61006</v>
      </c>
      <c r="H179" s="0" t="n">
        <v>61006</v>
      </c>
      <c r="I179" s="0" t="n">
        <v>100237</v>
      </c>
      <c r="J179" s="0" t="s">
        <v>580</v>
      </c>
      <c r="K179" s="0" t="s">
        <v>480</v>
      </c>
      <c r="L179" s="0" t="s">
        <v>480</v>
      </c>
      <c r="M179" s="0" t="s">
        <v>184</v>
      </c>
      <c r="N179" s="0" t="n">
        <v>25888000</v>
      </c>
      <c r="O179" s="0" t="n">
        <v>30278362.57</v>
      </c>
      <c r="P179" s="0" t="s">
        <v>415</v>
      </c>
      <c r="Q179" s="0" t="s">
        <v>186</v>
      </c>
      <c r="R179" s="0" t="s">
        <v>202</v>
      </c>
      <c r="S179" s="0" t="s">
        <v>581</v>
      </c>
      <c r="T179" s="0" t="s">
        <v>189</v>
      </c>
      <c r="U179" s="0" t="s">
        <v>229</v>
      </c>
      <c r="V179" s="0" t="s">
        <v>230</v>
      </c>
      <c r="W179" s="0" t="s">
        <v>336</v>
      </c>
      <c r="X179" s="0" t="s">
        <v>582</v>
      </c>
      <c r="Y179" s="0" t="n">
        <v>11.1</v>
      </c>
      <c r="Z179" s="0" t="s">
        <v>219</v>
      </c>
      <c r="AA179" s="0" t="n">
        <v>0.855</v>
      </c>
      <c r="AB179" s="0" t="s">
        <v>202</v>
      </c>
      <c r="AC179" s="0" t="n">
        <v>27693000</v>
      </c>
      <c r="AD179" s="0" t="n">
        <v>27693000</v>
      </c>
      <c r="AE179" s="0" t="n">
        <v>32389473.68</v>
      </c>
      <c r="AF179" s="0" t="n">
        <v>0.9348</v>
      </c>
      <c r="AG179" s="0" t="n">
        <v>25888000</v>
      </c>
      <c r="AH179" s="0" t="n">
        <v>25888000</v>
      </c>
      <c r="AI179" s="0" t="n">
        <v>1805000</v>
      </c>
      <c r="AJ179" s="0" t="n">
        <v>27693000</v>
      </c>
      <c r="AK179" s="0" t="n">
        <v>25888000</v>
      </c>
      <c r="AL179" s="0" t="n">
        <v>25888000</v>
      </c>
      <c r="AM179" s="0" t="s">
        <v>194</v>
      </c>
      <c r="AN179" s="0" t="n">
        <v>2.639</v>
      </c>
      <c r="AO179" s="0" t="n">
        <v>5.928</v>
      </c>
      <c r="AP179" s="0" t="n">
        <v>3.634</v>
      </c>
      <c r="AQ179" s="0" t="n">
        <v>100</v>
      </c>
      <c r="AR179" s="0" t="n">
        <v>100</v>
      </c>
      <c r="AS179" s="1" t="n">
        <v>44330</v>
      </c>
      <c r="AT179" s="1" t="n">
        <v>52000</v>
      </c>
      <c r="AU179" s="1" t="n">
        <v>46295</v>
      </c>
      <c r="AV179" s="0" t="s">
        <v>583</v>
      </c>
      <c r="AW179" s="0" t="s">
        <v>384</v>
      </c>
      <c r="AX179" s="0" t="s">
        <v>187</v>
      </c>
      <c r="AY179" s="0" t="s">
        <v>584</v>
      </c>
      <c r="AZ179" s="0" t="s">
        <v>585</v>
      </c>
      <c r="BA179" s="0" t="s">
        <v>230</v>
      </c>
      <c r="BB179" s="0" t="s">
        <v>384</v>
      </c>
      <c r="BC179" s="0" t="s">
        <v>586</v>
      </c>
      <c r="BI179" s="0" t="n">
        <v>27693000</v>
      </c>
      <c r="BJ179" s="0" t="n">
        <v>32389473.68</v>
      </c>
      <c r="BK179" s="0" t="s">
        <v>200</v>
      </c>
      <c r="BL179" s="0" t="s">
        <v>201</v>
      </c>
      <c r="BN179" s="0" t="n">
        <v>12.6</v>
      </c>
      <c r="BO179" s="0" t="n">
        <v>15.87</v>
      </c>
      <c r="BP179" s="0" t="s">
        <v>202</v>
      </c>
      <c r="BQ179" s="0" t="s">
        <v>187</v>
      </c>
      <c r="BR179" s="0" t="s">
        <v>203</v>
      </c>
      <c r="BS179" s="0" t="s">
        <v>587</v>
      </c>
      <c r="BT179" s="0" t="s">
        <v>205</v>
      </c>
      <c r="BU179" s="0" t="s">
        <v>255</v>
      </c>
      <c r="BW179" s="0" t="s">
        <v>257</v>
      </c>
      <c r="BX179" s="0" t="s">
        <v>207</v>
      </c>
      <c r="BY179" s="0" t="n">
        <v>360</v>
      </c>
      <c r="BZ179" s="0" t="n">
        <v>360</v>
      </c>
      <c r="CB179" s="0" t="s">
        <v>208</v>
      </c>
      <c r="CC179" s="0" t="s">
        <v>209</v>
      </c>
      <c r="CD179" s="0" t="s">
        <v>209</v>
      </c>
      <c r="CE179" s="0" t="s">
        <v>209</v>
      </c>
      <c r="CF179" s="0" t="s">
        <v>211</v>
      </c>
      <c r="CG179" s="0" t="s">
        <v>211</v>
      </c>
      <c r="CH179" s="1" t="n">
        <v>46112</v>
      </c>
      <c r="CI179" s="0" t="n">
        <v>1.2</v>
      </c>
      <c r="CJ179" s="0" t="n">
        <v>2.56</v>
      </c>
      <c r="CK179" s="0" t="n">
        <v>2.69</v>
      </c>
      <c r="CL179" s="0" t="s">
        <v>212</v>
      </c>
      <c r="DA179" s="0" t="n">
        <v>0.55</v>
      </c>
      <c r="DC179" s="0" t="n">
        <v>0.85</v>
      </c>
      <c r="DD179" s="0" t="s">
        <v>212</v>
      </c>
      <c r="ED179" s="0" t="s">
        <v>212</v>
      </c>
      <c r="EE179" s="0" t="n">
        <v>1.05</v>
      </c>
      <c r="EI179" s="0" t="n">
        <v>1.25</v>
      </c>
      <c r="FQ179" s="0" t="n">
        <v>24922783</v>
      </c>
    </row>
    <row r="180" customFormat="false" ht="15" hidden="false" customHeight="false" outlineLevel="0" collapsed="false">
      <c r="B180" s="0" t="str">
        <f aca="false">C180&amp;"x"&amp;I180</f>
        <v>61024x100237</v>
      </c>
      <c r="C180" s="0" t="n">
        <f aca="false">IF(G180="SINGLE",H180,G180)</f>
        <v>61024</v>
      </c>
      <c r="D180" s="0" t="e">
        <f aca="false">_xlfn.XLOOKUP(I180,calculations!$t:$t,calculations!$s:$s)</f>
        <v>#VALUE!</v>
      </c>
      <c r="E180" s="0" t="str">
        <f aca="false">_xlfn.XLOOKUP(I180,Mapping!$T:$T,Mapping!$Q:$Q)</f>
        <v>INDI33</v>
      </c>
      <c r="F180" s="1" t="n">
        <v>46203</v>
      </c>
      <c r="G180" s="0" t="n">
        <v>61024</v>
      </c>
      <c r="H180" s="0" t="n">
        <v>61024</v>
      </c>
      <c r="I180" s="0" t="n">
        <v>100237</v>
      </c>
      <c r="J180" s="0" t="s">
        <v>580</v>
      </c>
      <c r="K180" s="0" t="s">
        <v>183</v>
      </c>
      <c r="L180" s="0" t="s">
        <v>183</v>
      </c>
      <c r="M180" s="0" t="s">
        <v>184</v>
      </c>
      <c r="N180" s="0" t="n">
        <v>16242000</v>
      </c>
      <c r="O180" s="0" t="n">
        <v>18996491.23</v>
      </c>
      <c r="P180" s="0" t="s">
        <v>185</v>
      </c>
      <c r="Q180" s="0" t="s">
        <v>186</v>
      </c>
      <c r="R180" s="0" t="s">
        <v>202</v>
      </c>
      <c r="S180" s="0" t="s">
        <v>581</v>
      </c>
      <c r="T180" s="0" t="s">
        <v>189</v>
      </c>
      <c r="U180" s="0" t="s">
        <v>229</v>
      </c>
      <c r="V180" s="0" t="s">
        <v>230</v>
      </c>
      <c r="W180" s="0" t="s">
        <v>336</v>
      </c>
      <c r="X180" s="0" t="s">
        <v>582</v>
      </c>
      <c r="Y180" s="0" t="n">
        <v>11.1</v>
      </c>
      <c r="Z180" s="0" t="s">
        <v>219</v>
      </c>
      <c r="AA180" s="0" t="n">
        <v>0.855</v>
      </c>
      <c r="AB180" s="0" t="s">
        <v>202</v>
      </c>
      <c r="AC180" s="0" t="n">
        <v>17374000</v>
      </c>
      <c r="AD180" s="0" t="n">
        <v>17374000</v>
      </c>
      <c r="AE180" s="0" t="n">
        <v>20320467.84</v>
      </c>
      <c r="AF180" s="0" t="n">
        <v>0.9348</v>
      </c>
      <c r="AG180" s="0" t="n">
        <v>16242000</v>
      </c>
      <c r="AH180" s="0" t="n">
        <v>16242000</v>
      </c>
      <c r="AI180" s="0" t="n">
        <v>1132000</v>
      </c>
      <c r="AJ180" s="0" t="n">
        <v>17374000</v>
      </c>
      <c r="AK180" s="0" t="n">
        <v>16242000</v>
      </c>
      <c r="AL180" s="0" t="n">
        <v>16242000</v>
      </c>
      <c r="AM180" s="0" t="s">
        <v>194</v>
      </c>
      <c r="AN180" s="0" t="n">
        <v>5.47</v>
      </c>
      <c r="AO180" s="0" t="n">
        <v>4.135</v>
      </c>
      <c r="AP180" s="0" t="n">
        <v>6.255</v>
      </c>
      <c r="AQ180" s="0" t="n">
        <v>100</v>
      </c>
      <c r="AR180" s="0" t="n">
        <v>100</v>
      </c>
      <c r="AS180" s="1" t="n">
        <v>44330</v>
      </c>
      <c r="AT180" s="1" t="n">
        <v>52000</v>
      </c>
      <c r="AU180" s="1" t="n">
        <v>46295</v>
      </c>
      <c r="AV180" s="0" t="s">
        <v>583</v>
      </c>
      <c r="AW180" s="0" t="s">
        <v>384</v>
      </c>
      <c r="AX180" s="0" t="s">
        <v>187</v>
      </c>
      <c r="AY180" s="0" t="s">
        <v>584</v>
      </c>
      <c r="AZ180" s="0" t="s">
        <v>585</v>
      </c>
      <c r="BA180" s="0" t="s">
        <v>230</v>
      </c>
      <c r="BB180" s="0" t="s">
        <v>384</v>
      </c>
      <c r="BC180" s="0" t="s">
        <v>586</v>
      </c>
      <c r="BI180" s="0" t="n">
        <v>17374000</v>
      </c>
      <c r="BJ180" s="0" t="n">
        <v>20320467.84</v>
      </c>
      <c r="BK180" s="0" t="s">
        <v>200</v>
      </c>
      <c r="BL180" s="0" t="s">
        <v>201</v>
      </c>
      <c r="BN180" s="0" t="n">
        <v>12.6</v>
      </c>
      <c r="BO180" s="0" t="n">
        <v>15.87</v>
      </c>
      <c r="BP180" s="0" t="s">
        <v>202</v>
      </c>
      <c r="BQ180" s="0" t="s">
        <v>187</v>
      </c>
      <c r="BR180" s="0" t="s">
        <v>203</v>
      </c>
      <c r="BS180" s="0" t="s">
        <v>587</v>
      </c>
      <c r="BT180" s="0" t="s">
        <v>205</v>
      </c>
      <c r="BU180" s="0" t="s">
        <v>269</v>
      </c>
      <c r="BW180" s="0" t="s">
        <v>257</v>
      </c>
      <c r="BX180" s="0" t="s">
        <v>207</v>
      </c>
      <c r="BY180" s="0" t="n">
        <v>360</v>
      </c>
      <c r="BZ180" s="0" t="n">
        <v>360</v>
      </c>
      <c r="CB180" s="0" t="s">
        <v>208</v>
      </c>
      <c r="CC180" s="0" t="s">
        <v>209</v>
      </c>
      <c r="CD180" s="0" t="s">
        <v>209</v>
      </c>
      <c r="CE180" s="0" t="s">
        <v>209</v>
      </c>
      <c r="CF180" s="0" t="s">
        <v>211</v>
      </c>
      <c r="CG180" s="0" t="s">
        <v>211</v>
      </c>
      <c r="CH180" s="1" t="n">
        <v>46112</v>
      </c>
      <c r="CI180" s="0" t="n">
        <v>1.2</v>
      </c>
      <c r="CJ180" s="0" t="n">
        <v>2.15</v>
      </c>
      <c r="CK180" s="0" t="n">
        <v>2.26</v>
      </c>
      <c r="CL180" s="0" t="s">
        <v>212</v>
      </c>
      <c r="DA180" s="0" t="n">
        <v>0.83</v>
      </c>
      <c r="DC180" s="0" t="n">
        <v>0.85</v>
      </c>
      <c r="DD180" s="0" t="s">
        <v>213</v>
      </c>
      <c r="ED180" s="0" t="s">
        <v>212</v>
      </c>
      <c r="EE180" s="0" t="n">
        <v>1.05</v>
      </c>
      <c r="EI180" s="0" t="n">
        <v>1.79</v>
      </c>
      <c r="FQ180" s="0" t="n">
        <v>25990857</v>
      </c>
    </row>
    <row r="181" customFormat="false" ht="15" hidden="false" customHeight="false" outlineLevel="0" collapsed="false">
      <c r="B181" s="0" t="str">
        <f aca="false">C181&amp;"x"&amp;I181</f>
        <v>61013x100238</v>
      </c>
      <c r="C181" s="0" t="n">
        <f aca="false">IF(G181="SINGLE",H181,G181)</f>
        <v>61013</v>
      </c>
      <c r="D181" s="0" t="e">
        <f aca="false">_xlfn.XLOOKUP(I181,calculations!$t:$t,calculations!$s:$s)</f>
        <v>#VALUE!</v>
      </c>
      <c r="E181" s="0" t="str">
        <f aca="false">_xlfn.XLOOKUP(I181,Mapping!$T:$T,Mapping!$Q:$Q)</f>
        <v>JADE34</v>
      </c>
      <c r="F181" s="1" t="n">
        <v>46203</v>
      </c>
      <c r="G181" s="0" t="n">
        <v>61013</v>
      </c>
      <c r="H181" s="0" t="n">
        <v>61013</v>
      </c>
      <c r="I181" s="0" t="n">
        <v>100238</v>
      </c>
      <c r="J181" s="0" t="s">
        <v>588</v>
      </c>
      <c r="K181" s="0" t="s">
        <v>260</v>
      </c>
      <c r="L181" s="0" t="s">
        <v>260</v>
      </c>
      <c r="M181" s="0" t="s">
        <v>184</v>
      </c>
      <c r="N181" s="0" t="n">
        <v>64390000</v>
      </c>
      <c r="O181" s="0" t="n">
        <v>5698230.09</v>
      </c>
      <c r="P181" s="0" t="s">
        <v>185</v>
      </c>
      <c r="Q181" s="0" t="s">
        <v>227</v>
      </c>
      <c r="R181" s="0" t="s">
        <v>187</v>
      </c>
      <c r="S181" s="0" t="s">
        <v>589</v>
      </c>
      <c r="T181" s="0" t="s">
        <v>189</v>
      </c>
      <c r="U181" s="0" t="s">
        <v>432</v>
      </c>
      <c r="V181" s="0" t="s">
        <v>433</v>
      </c>
      <c r="W181" s="0" t="s">
        <v>347</v>
      </c>
      <c r="X181" s="0" t="s">
        <v>590</v>
      </c>
      <c r="Y181" s="0" t="n">
        <v>8.1</v>
      </c>
      <c r="Z181" s="0" t="s">
        <v>436</v>
      </c>
      <c r="AA181" s="0" t="n">
        <v>11.3</v>
      </c>
      <c r="AB181" s="0" t="s">
        <v>202</v>
      </c>
      <c r="AC181" s="0" t="n">
        <v>68835000</v>
      </c>
      <c r="AD181" s="0" t="n">
        <v>68835000</v>
      </c>
      <c r="AE181" s="0" t="n">
        <v>6091592.92</v>
      </c>
      <c r="AF181" s="0" t="n">
        <v>0.9354</v>
      </c>
      <c r="AG181" s="0" t="n">
        <v>64390000</v>
      </c>
      <c r="AH181" s="0" t="n">
        <v>64390000</v>
      </c>
      <c r="AI181" s="0" t="n">
        <v>4445000</v>
      </c>
      <c r="AJ181" s="0" t="n">
        <v>68835000</v>
      </c>
      <c r="AK181" s="0" t="n">
        <v>64390000</v>
      </c>
      <c r="AL181" s="0" t="n">
        <v>64390000</v>
      </c>
      <c r="AN181" s="0" t="n">
        <v>3.505</v>
      </c>
      <c r="AO181" s="0" t="n">
        <v>4.115</v>
      </c>
      <c r="AP181" s="0" t="n">
        <v>4.948</v>
      </c>
      <c r="AQ181" s="0" t="n">
        <v>100</v>
      </c>
      <c r="AR181" s="0" t="n">
        <v>100</v>
      </c>
      <c r="AS181" s="1" t="n">
        <v>43010</v>
      </c>
      <c r="AT181" s="1" t="n">
        <v>47758</v>
      </c>
      <c r="AU181" s="1" t="n">
        <v>46295</v>
      </c>
      <c r="AV181" s="0" t="s">
        <v>591</v>
      </c>
      <c r="AW181" s="0" t="s">
        <v>495</v>
      </c>
      <c r="AX181" s="0" t="s">
        <v>187</v>
      </c>
      <c r="AY181" s="0" t="s">
        <v>592</v>
      </c>
      <c r="AZ181" s="0" t="s">
        <v>593</v>
      </c>
      <c r="BA181" s="0" t="s">
        <v>433</v>
      </c>
      <c r="BB181" s="0" t="s">
        <v>495</v>
      </c>
      <c r="BC181" s="0" t="s">
        <v>594</v>
      </c>
      <c r="BI181" s="0" t="n">
        <v>68835000</v>
      </c>
      <c r="BJ181" s="0" t="n">
        <v>6091592.92</v>
      </c>
      <c r="BK181" s="0" t="s">
        <v>253</v>
      </c>
      <c r="BL181" s="0" t="s">
        <v>201</v>
      </c>
      <c r="BN181" s="0" t="n">
        <v>7.8</v>
      </c>
      <c r="BO181" s="0" t="n">
        <v>4.26</v>
      </c>
      <c r="BP181" s="0" t="s">
        <v>187</v>
      </c>
      <c r="BQ181" s="0" t="s">
        <v>187</v>
      </c>
      <c r="BR181" s="0" t="s">
        <v>203</v>
      </c>
      <c r="BS181" s="0" t="s">
        <v>595</v>
      </c>
      <c r="BT181" s="0" t="s">
        <v>216</v>
      </c>
      <c r="BU181" s="0" t="s">
        <v>269</v>
      </c>
      <c r="BW181" s="0" t="s">
        <v>206</v>
      </c>
      <c r="BX181" s="0" t="s">
        <v>207</v>
      </c>
      <c r="BY181" s="0" t="n">
        <v>230</v>
      </c>
      <c r="BZ181" s="0" t="n">
        <v>230</v>
      </c>
      <c r="CC181" s="0" t="s">
        <v>409</v>
      </c>
      <c r="CD181" s="0" t="s">
        <v>409</v>
      </c>
      <c r="CE181" s="0" t="s">
        <v>211</v>
      </c>
      <c r="CF181" s="0" t="s">
        <v>211</v>
      </c>
      <c r="CG181" s="0" t="s">
        <v>211</v>
      </c>
      <c r="CH181" s="1" t="n">
        <v>46112</v>
      </c>
      <c r="CI181" s="0" t="n">
        <v>1.2</v>
      </c>
      <c r="CJ181" s="0" t="n">
        <v>1.54</v>
      </c>
      <c r="CK181" s="0" t="n">
        <v>1.62</v>
      </c>
      <c r="CL181" s="0" t="s">
        <v>212</v>
      </c>
      <c r="DA181" s="0" t="n">
        <v>0.63</v>
      </c>
      <c r="DC181" s="0" t="n">
        <v>0.85</v>
      </c>
      <c r="DD181" s="0" t="s">
        <v>212</v>
      </c>
      <c r="ED181" s="0" t="s">
        <v>213</v>
      </c>
      <c r="EE181" s="0" t="n">
        <v>1.05</v>
      </c>
      <c r="EI181" s="0" t="n">
        <v>1.15</v>
      </c>
      <c r="FQ181" s="0" t="n">
        <v>40458569</v>
      </c>
    </row>
    <row r="182" customFormat="false" ht="15" hidden="false" customHeight="false" outlineLevel="0" collapsed="false">
      <c r="B182" s="0" t="str">
        <f aca="false">C182&amp;"x"&amp;I182</f>
        <v>61004x100238</v>
      </c>
      <c r="C182" s="0" t="n">
        <f aca="false">IF(G182="SINGLE",H182,G182)</f>
        <v>61004</v>
      </c>
      <c r="D182" s="0" t="e">
        <f aca="false">_xlfn.XLOOKUP(I182,calculations!$t:$t,calculations!$s:$s)</f>
        <v>#VALUE!</v>
      </c>
      <c r="E182" s="0" t="str">
        <f aca="false">_xlfn.XLOOKUP(I182,Mapping!$T:$T,Mapping!$Q:$Q)</f>
        <v>JADE34</v>
      </c>
      <c r="F182" s="1" t="n">
        <v>46203</v>
      </c>
      <c r="G182" s="0" t="n">
        <v>61004</v>
      </c>
      <c r="H182" s="0" t="n">
        <v>61004</v>
      </c>
      <c r="I182" s="0" t="n">
        <v>100238</v>
      </c>
      <c r="J182" s="0" t="s">
        <v>588</v>
      </c>
      <c r="K182" s="0" t="s">
        <v>390</v>
      </c>
      <c r="L182" s="0" t="s">
        <v>390</v>
      </c>
      <c r="M182" s="0" t="s">
        <v>184</v>
      </c>
      <c r="N182" s="0" t="n">
        <v>57612000</v>
      </c>
      <c r="O182" s="0" t="n">
        <v>5098407.08</v>
      </c>
      <c r="P182" s="0" t="s">
        <v>185</v>
      </c>
      <c r="Q182" s="0" t="s">
        <v>227</v>
      </c>
      <c r="R182" s="0" t="s">
        <v>187</v>
      </c>
      <c r="S182" s="0" t="s">
        <v>589</v>
      </c>
      <c r="T182" s="0" t="s">
        <v>189</v>
      </c>
      <c r="U182" s="0" t="s">
        <v>432</v>
      </c>
      <c r="V182" s="0" t="s">
        <v>433</v>
      </c>
      <c r="W182" s="0" t="s">
        <v>347</v>
      </c>
      <c r="X182" s="0" t="s">
        <v>590</v>
      </c>
      <c r="Y182" s="0" t="n">
        <v>8.1</v>
      </c>
      <c r="Z182" s="0" t="s">
        <v>436</v>
      </c>
      <c r="AA182" s="0" t="n">
        <v>11.3</v>
      </c>
      <c r="AB182" s="0" t="s">
        <v>202</v>
      </c>
      <c r="AC182" s="0" t="n">
        <v>61589000</v>
      </c>
      <c r="AD182" s="0" t="n">
        <v>61589000</v>
      </c>
      <c r="AE182" s="0" t="n">
        <v>5450353.98</v>
      </c>
      <c r="AF182" s="0" t="n">
        <v>0.9354</v>
      </c>
      <c r="AG182" s="0" t="n">
        <v>57612000</v>
      </c>
      <c r="AH182" s="0" t="n">
        <v>57612000</v>
      </c>
      <c r="AI182" s="0" t="n">
        <v>3977000</v>
      </c>
      <c r="AJ182" s="0" t="n">
        <v>61589000</v>
      </c>
      <c r="AK182" s="0" t="n">
        <v>57612000</v>
      </c>
      <c r="AL182" s="0" t="n">
        <v>57612000</v>
      </c>
      <c r="AN182" s="0" t="n">
        <v>4.578</v>
      </c>
      <c r="AO182" s="0" t="n">
        <v>3.415</v>
      </c>
      <c r="AP182" s="0" t="n">
        <v>5.891</v>
      </c>
      <c r="AQ182" s="0" t="n">
        <v>100</v>
      </c>
      <c r="AR182" s="0" t="n">
        <v>100</v>
      </c>
      <c r="AS182" s="1" t="n">
        <v>43010</v>
      </c>
      <c r="AT182" s="1" t="n">
        <v>47758</v>
      </c>
      <c r="AU182" s="1" t="n">
        <v>46295</v>
      </c>
      <c r="AV182" s="0" t="s">
        <v>591</v>
      </c>
      <c r="AW182" s="0" t="s">
        <v>495</v>
      </c>
      <c r="AX182" s="0" t="s">
        <v>187</v>
      </c>
      <c r="AY182" s="0" t="s">
        <v>592</v>
      </c>
      <c r="AZ182" s="0" t="s">
        <v>593</v>
      </c>
      <c r="BA182" s="0" t="s">
        <v>433</v>
      </c>
      <c r="BB182" s="0" t="s">
        <v>495</v>
      </c>
      <c r="BC182" s="0" t="s">
        <v>594</v>
      </c>
      <c r="BI182" s="0" t="n">
        <v>61589000</v>
      </c>
      <c r="BJ182" s="0" t="n">
        <v>5450353.98</v>
      </c>
      <c r="BK182" s="0" t="s">
        <v>253</v>
      </c>
      <c r="BL182" s="0" t="s">
        <v>201</v>
      </c>
      <c r="BN182" s="0" t="n">
        <v>7.8</v>
      </c>
      <c r="BO182" s="0" t="n">
        <v>4.26</v>
      </c>
      <c r="BP182" s="0" t="s">
        <v>187</v>
      </c>
      <c r="BQ182" s="0" t="s">
        <v>187</v>
      </c>
      <c r="BR182" s="0" t="s">
        <v>203</v>
      </c>
      <c r="BS182" s="0" t="s">
        <v>595</v>
      </c>
      <c r="BT182" s="0" t="s">
        <v>216</v>
      </c>
      <c r="BU182" s="0" t="s">
        <v>205</v>
      </c>
      <c r="BW182" s="0" t="s">
        <v>257</v>
      </c>
      <c r="BX182" s="0" t="s">
        <v>217</v>
      </c>
      <c r="BY182" s="0" t="n">
        <v>230</v>
      </c>
      <c r="BZ182" s="0" t="n">
        <v>230</v>
      </c>
      <c r="CC182" s="0" t="s">
        <v>409</v>
      </c>
      <c r="CD182" s="0" t="s">
        <v>409</v>
      </c>
      <c r="CE182" s="0" t="s">
        <v>211</v>
      </c>
      <c r="CF182" s="0" t="s">
        <v>211</v>
      </c>
      <c r="CG182" s="0" t="s">
        <v>211</v>
      </c>
      <c r="CH182" s="1" t="n">
        <v>46112</v>
      </c>
      <c r="CI182" s="0" t="n">
        <v>1.2</v>
      </c>
      <c r="CJ182" s="0" t="n">
        <v>2.61</v>
      </c>
      <c r="CK182" s="0" t="n">
        <v>2.74</v>
      </c>
      <c r="CL182" s="0" t="s">
        <v>212</v>
      </c>
      <c r="DA182" s="0" t="n">
        <v>0.47</v>
      </c>
      <c r="DC182" s="0" t="n">
        <v>0.85</v>
      </c>
      <c r="DD182" s="0" t="s">
        <v>212</v>
      </c>
      <c r="ED182" s="0" t="s">
        <v>213</v>
      </c>
      <c r="EE182" s="0" t="n">
        <v>1.05</v>
      </c>
      <c r="EI182" s="0" t="n">
        <v>1.16</v>
      </c>
      <c r="FQ182" s="0" t="n">
        <v>47981193</v>
      </c>
    </row>
    <row r="183" customFormat="false" ht="15" hidden="false" customHeight="false" outlineLevel="0" collapsed="false">
      <c r="B183" s="0" t="str">
        <f aca="false">C183&amp;"x"&amp;I183</f>
        <v>61002x100238</v>
      </c>
      <c r="C183" s="0" t="n">
        <f aca="false">IF(G183="SINGLE",H183,G183)</f>
        <v>61002</v>
      </c>
      <c r="D183" s="0" t="e">
        <f aca="false">_xlfn.XLOOKUP(I183,calculations!$t:$t,calculations!$s:$s)</f>
        <v>#VALUE!</v>
      </c>
      <c r="E183" s="0" t="str">
        <f aca="false">_xlfn.XLOOKUP(I183,Mapping!$T:$T,Mapping!$Q:$Q)</f>
        <v>JADE34</v>
      </c>
      <c r="F183" s="1" t="n">
        <v>46203</v>
      </c>
      <c r="G183" s="0" t="n">
        <v>61002</v>
      </c>
      <c r="H183" s="0" t="n">
        <v>61002</v>
      </c>
      <c r="I183" s="0" t="n">
        <v>100238</v>
      </c>
      <c r="J183" s="0" t="s">
        <v>588</v>
      </c>
      <c r="K183" s="0" t="s">
        <v>333</v>
      </c>
      <c r="L183" s="0" t="s">
        <v>333</v>
      </c>
      <c r="M183" s="0" t="s">
        <v>184</v>
      </c>
      <c r="N183" s="0" t="n">
        <v>59602000</v>
      </c>
      <c r="O183" s="0" t="n">
        <v>5274513.27</v>
      </c>
      <c r="P183" s="0" t="s">
        <v>185</v>
      </c>
      <c r="Q183" s="0" t="s">
        <v>227</v>
      </c>
      <c r="R183" s="0" t="s">
        <v>187</v>
      </c>
      <c r="S183" s="0" t="s">
        <v>589</v>
      </c>
      <c r="T183" s="0" t="s">
        <v>189</v>
      </c>
      <c r="U183" s="0" t="s">
        <v>432</v>
      </c>
      <c r="V183" s="0" t="s">
        <v>433</v>
      </c>
      <c r="W183" s="0" t="s">
        <v>347</v>
      </c>
      <c r="X183" s="0" t="s">
        <v>590</v>
      </c>
      <c r="Y183" s="0" t="n">
        <v>8.1</v>
      </c>
      <c r="Z183" s="0" t="s">
        <v>436</v>
      </c>
      <c r="AA183" s="0" t="n">
        <v>11.3</v>
      </c>
      <c r="AB183" s="0" t="s">
        <v>202</v>
      </c>
      <c r="AC183" s="0" t="n">
        <v>63716000</v>
      </c>
      <c r="AD183" s="0" t="n">
        <v>63716000</v>
      </c>
      <c r="AE183" s="0" t="n">
        <v>5638584.07</v>
      </c>
      <c r="AF183" s="0" t="n">
        <v>0.9354</v>
      </c>
      <c r="AG183" s="0" t="n">
        <v>59602000</v>
      </c>
      <c r="AH183" s="0" t="n">
        <v>59602000</v>
      </c>
      <c r="AI183" s="0" t="n">
        <v>4114000</v>
      </c>
      <c r="AJ183" s="0" t="n">
        <v>63716000</v>
      </c>
      <c r="AK183" s="0" t="n">
        <v>59602000</v>
      </c>
      <c r="AL183" s="0" t="n">
        <v>59602000</v>
      </c>
      <c r="AN183" s="0" t="n">
        <v>3.423</v>
      </c>
      <c r="AO183" s="0" t="n">
        <v>4.489</v>
      </c>
      <c r="AP183" s="0" t="n">
        <v>6.178</v>
      </c>
      <c r="AQ183" s="0" t="n">
        <v>100</v>
      </c>
      <c r="AR183" s="0" t="n">
        <v>100</v>
      </c>
      <c r="AS183" s="1" t="n">
        <v>43010</v>
      </c>
      <c r="AT183" s="1" t="n">
        <v>47758</v>
      </c>
      <c r="AU183" s="1" t="n">
        <v>46295</v>
      </c>
      <c r="AV183" s="0" t="s">
        <v>591</v>
      </c>
      <c r="AW183" s="0" t="s">
        <v>495</v>
      </c>
      <c r="AX183" s="0" t="s">
        <v>187</v>
      </c>
      <c r="AY183" s="0" t="s">
        <v>592</v>
      </c>
      <c r="AZ183" s="0" t="s">
        <v>593</v>
      </c>
      <c r="BA183" s="0" t="s">
        <v>433</v>
      </c>
      <c r="BB183" s="0" t="s">
        <v>495</v>
      </c>
      <c r="BC183" s="0" t="s">
        <v>594</v>
      </c>
      <c r="BI183" s="0" t="n">
        <v>63716000</v>
      </c>
      <c r="BJ183" s="0" t="n">
        <v>5638584.07</v>
      </c>
      <c r="BK183" s="0" t="s">
        <v>253</v>
      </c>
      <c r="BL183" s="0" t="s">
        <v>201</v>
      </c>
      <c r="BN183" s="0" t="n">
        <v>7.8</v>
      </c>
      <c r="BO183" s="0" t="n">
        <v>4.26</v>
      </c>
      <c r="BP183" s="0" t="s">
        <v>187</v>
      </c>
      <c r="BQ183" s="0" t="s">
        <v>187</v>
      </c>
      <c r="BR183" s="0" t="s">
        <v>203</v>
      </c>
      <c r="BS183" s="0" t="s">
        <v>595</v>
      </c>
      <c r="BT183" s="0" t="s">
        <v>216</v>
      </c>
      <c r="BU183" s="0" t="s">
        <v>220</v>
      </c>
      <c r="BW183" s="0" t="s">
        <v>206</v>
      </c>
      <c r="BX183" s="0" t="s">
        <v>217</v>
      </c>
      <c r="BY183" s="0" t="n">
        <v>230</v>
      </c>
      <c r="BZ183" s="0" t="n">
        <v>230</v>
      </c>
      <c r="CC183" s="0" t="s">
        <v>409</v>
      </c>
      <c r="CD183" s="0" t="s">
        <v>409</v>
      </c>
      <c r="CE183" s="0" t="s">
        <v>211</v>
      </c>
      <c r="CF183" s="0" t="s">
        <v>211</v>
      </c>
      <c r="CG183" s="0" t="s">
        <v>211</v>
      </c>
      <c r="CH183" s="1" t="n">
        <v>46112</v>
      </c>
      <c r="CI183" s="0" t="n">
        <v>1.2</v>
      </c>
      <c r="CJ183" s="0" t="n">
        <v>2.52</v>
      </c>
      <c r="CK183" s="0" t="n">
        <v>2.65</v>
      </c>
      <c r="CL183" s="0" t="s">
        <v>212</v>
      </c>
      <c r="DA183" s="0" t="n">
        <v>0.54</v>
      </c>
      <c r="DC183" s="0" t="n">
        <v>0.85</v>
      </c>
      <c r="DD183" s="0" t="s">
        <v>212</v>
      </c>
      <c r="ED183" s="0" t="s">
        <v>212</v>
      </c>
      <c r="EE183" s="0" t="n">
        <v>1.05</v>
      </c>
      <c r="EI183" s="0" t="n">
        <v>1.94</v>
      </c>
      <c r="FQ183" s="0" t="n">
        <v>50655039</v>
      </c>
    </row>
    <row r="184" customFormat="false" ht="15" hidden="false" customHeight="false" outlineLevel="0" collapsed="false">
      <c r="B184" s="0" t="str">
        <f aca="false">C184&amp;"x"&amp;I184</f>
        <v>61014x100239</v>
      </c>
      <c r="C184" s="0" t="n">
        <f aca="false">IF(G184="SINGLE",H184,G184)</f>
        <v>61014</v>
      </c>
      <c r="D184" s="0" t="e">
        <f aca="false">_xlfn.XLOOKUP(I184,calculations!$t:$t,calculations!$s:$s)</f>
        <v>#VALUE!</v>
      </c>
      <c r="E184" s="0" t="str">
        <f aca="false">_xlfn.XLOOKUP(I184,Mapping!$T:$T,Mapping!$Q:$Q)</f>
        <v>KITE35</v>
      </c>
      <c r="F184" s="1" t="n">
        <v>46203</v>
      </c>
      <c r="G184" s="0" t="n">
        <v>61014</v>
      </c>
      <c r="H184" s="0" t="n">
        <v>61014</v>
      </c>
      <c r="I184" s="0" t="n">
        <v>100239</v>
      </c>
      <c r="J184" s="0" t="s">
        <v>596</v>
      </c>
      <c r="K184" s="0" t="s">
        <v>241</v>
      </c>
      <c r="L184" s="0" t="s">
        <v>241</v>
      </c>
      <c r="M184" s="0" t="s">
        <v>184</v>
      </c>
      <c r="N184" s="0" t="n">
        <v>6431000</v>
      </c>
      <c r="O184" s="0" t="n">
        <v>6698958.33</v>
      </c>
      <c r="P184" s="0" t="s">
        <v>185</v>
      </c>
      <c r="Q184" s="0" t="s">
        <v>227</v>
      </c>
      <c r="R184" s="0" t="s">
        <v>202</v>
      </c>
      <c r="S184" s="0" t="s">
        <v>597</v>
      </c>
      <c r="T184" s="0" t="s">
        <v>189</v>
      </c>
      <c r="U184" s="0" t="s">
        <v>412</v>
      </c>
      <c r="V184" s="0" t="s">
        <v>413</v>
      </c>
      <c r="W184" s="0" t="s">
        <v>544</v>
      </c>
      <c r="X184" s="0" t="s">
        <v>598</v>
      </c>
      <c r="Y184" s="0" t="n">
        <v>9.6</v>
      </c>
      <c r="Z184" s="0" t="s">
        <v>415</v>
      </c>
      <c r="AA184" s="0" t="n">
        <v>0.96</v>
      </c>
      <c r="AB184" s="0" t="s">
        <v>202</v>
      </c>
      <c r="AC184" s="0" t="n">
        <v>10629000</v>
      </c>
      <c r="AD184" s="0" t="n">
        <v>10123000</v>
      </c>
      <c r="AE184" s="0" t="n">
        <v>10544791.67</v>
      </c>
      <c r="AF184" s="0" t="n">
        <v>0.6353</v>
      </c>
      <c r="AG184" s="0" t="n">
        <v>6431000</v>
      </c>
      <c r="AH184" s="0" t="n">
        <v>6431000</v>
      </c>
      <c r="AI184" s="0" t="n">
        <v>3692000</v>
      </c>
      <c r="AJ184" s="0" t="n">
        <v>10123000</v>
      </c>
      <c r="AK184" s="0" t="n">
        <v>6431000</v>
      </c>
      <c r="AL184" s="0" t="n">
        <v>6431000</v>
      </c>
      <c r="AM184" s="0" t="s">
        <v>194</v>
      </c>
      <c r="AN184" s="0" t="n">
        <v>4.589</v>
      </c>
      <c r="AO184" s="0" t="n">
        <v>5.857</v>
      </c>
      <c r="AP184" s="0" t="n">
        <v>3.788</v>
      </c>
      <c r="AQ184" s="0" t="n">
        <v>100</v>
      </c>
      <c r="AR184" s="0" t="n">
        <v>100</v>
      </c>
      <c r="AS184" s="1" t="n">
        <v>45507</v>
      </c>
      <c r="AT184" s="1" t="n">
        <v>51716</v>
      </c>
      <c r="AU184" s="1" t="n">
        <v>46295</v>
      </c>
      <c r="AV184" s="0" t="s">
        <v>599</v>
      </c>
      <c r="AW184" s="0" t="s">
        <v>529</v>
      </c>
      <c r="AX184" s="0" t="s">
        <v>187</v>
      </c>
      <c r="AY184" s="0" t="s">
        <v>600</v>
      </c>
      <c r="AZ184" s="0" t="s">
        <v>601</v>
      </c>
      <c r="BA184" s="0" t="s">
        <v>413</v>
      </c>
      <c r="BB184" s="0" t="s">
        <v>529</v>
      </c>
      <c r="BC184" s="0" t="s">
        <v>602</v>
      </c>
      <c r="BI184" s="0" t="n">
        <v>10123000</v>
      </c>
      <c r="BJ184" s="0" t="n">
        <v>10544791.67</v>
      </c>
      <c r="BK184" s="0" t="s">
        <v>200</v>
      </c>
      <c r="BL184" s="0" t="s">
        <v>201</v>
      </c>
      <c r="BN184" s="0" t="n">
        <v>10.2</v>
      </c>
      <c r="BO184" s="0" t="n">
        <v>15.09</v>
      </c>
      <c r="BP184" s="0" t="s">
        <v>202</v>
      </c>
      <c r="BQ184" s="0" t="s">
        <v>187</v>
      </c>
      <c r="BR184" s="0" t="s">
        <v>203</v>
      </c>
      <c r="BS184" s="0" t="s">
        <v>603</v>
      </c>
      <c r="BT184" s="0" t="s">
        <v>224</v>
      </c>
      <c r="BU184" s="0" t="s">
        <v>216</v>
      </c>
      <c r="BW184" s="0" t="s">
        <v>206</v>
      </c>
      <c r="BX184" s="0" t="s">
        <v>217</v>
      </c>
      <c r="BY184" s="0" t="n">
        <v>260</v>
      </c>
      <c r="BZ184" s="0" t="n">
        <v>260</v>
      </c>
      <c r="CB184" s="0" t="s">
        <v>208</v>
      </c>
      <c r="CC184" s="0" t="s">
        <v>209</v>
      </c>
      <c r="CD184" s="0" t="s">
        <v>209</v>
      </c>
      <c r="CE184" s="0" t="s">
        <v>211</v>
      </c>
      <c r="CF184" s="0" t="s">
        <v>209</v>
      </c>
      <c r="CG184" s="0" t="s">
        <v>211</v>
      </c>
      <c r="CH184" s="1" t="n">
        <v>46112</v>
      </c>
      <c r="CI184" s="0" t="n">
        <v>1.2</v>
      </c>
      <c r="CJ184" s="0" t="n">
        <v>1.76</v>
      </c>
      <c r="CK184" s="0" t="n">
        <v>1.85</v>
      </c>
      <c r="CL184" s="0" t="s">
        <v>212</v>
      </c>
      <c r="DA184" s="0" t="n">
        <v>0.6</v>
      </c>
      <c r="DC184" s="0" t="n">
        <v>0.85</v>
      </c>
      <c r="DD184" s="0" t="s">
        <v>212</v>
      </c>
      <c r="ED184" s="0" t="s">
        <v>212</v>
      </c>
      <c r="EE184" s="0" t="n">
        <v>1.05</v>
      </c>
      <c r="EI184" s="0" t="n">
        <v>1.8</v>
      </c>
      <c r="FQ184" s="0" t="n">
        <v>14299041</v>
      </c>
    </row>
    <row r="185" customFormat="false" ht="15" hidden="false" customHeight="false" outlineLevel="0" collapsed="false">
      <c r="B185" s="0" t="str">
        <f aca="false">C185&amp;"x"&amp;I185</f>
        <v>61014x100240</v>
      </c>
      <c r="C185" s="0" t="n">
        <f aca="false">IF(G185="SINGLE",H185,G185)</f>
        <v>61014</v>
      </c>
      <c r="D185" s="0" t="e">
        <f aca="false">_xlfn.XLOOKUP(I185,calculations!$t:$t,calculations!$s:$s)</f>
        <v>#VALUE!</v>
      </c>
      <c r="E185" s="0" t="str">
        <f aca="false">_xlfn.XLOOKUP(I185,Mapping!$T:$T,Mapping!$Q:$Q)</f>
        <v>KITE35</v>
      </c>
      <c r="F185" s="1" t="n">
        <v>46203</v>
      </c>
      <c r="G185" s="0" t="n">
        <v>61014</v>
      </c>
      <c r="H185" s="0" t="n">
        <v>61014</v>
      </c>
      <c r="I185" s="0" t="n">
        <v>100240</v>
      </c>
      <c r="J185" s="0" t="s">
        <v>604</v>
      </c>
      <c r="K185" s="0" t="s">
        <v>241</v>
      </c>
      <c r="L185" s="0" t="s">
        <v>241</v>
      </c>
      <c r="M185" s="0" t="s">
        <v>184</v>
      </c>
      <c r="N185" s="0" t="n">
        <v>4288000</v>
      </c>
      <c r="O185" s="0" t="n">
        <v>4466666.67</v>
      </c>
      <c r="P185" s="0" t="s">
        <v>185</v>
      </c>
      <c r="Q185" s="0" t="s">
        <v>227</v>
      </c>
      <c r="R185" s="0" t="s">
        <v>202</v>
      </c>
      <c r="S185" s="0" t="s">
        <v>605</v>
      </c>
      <c r="T185" s="0" t="s">
        <v>189</v>
      </c>
      <c r="U185" s="0" t="s">
        <v>412</v>
      </c>
      <c r="V185" s="0" t="s">
        <v>413</v>
      </c>
      <c r="W185" s="0" t="s">
        <v>544</v>
      </c>
      <c r="X185" s="0" t="s">
        <v>598</v>
      </c>
      <c r="Y185" s="0" t="n">
        <v>9.6</v>
      </c>
      <c r="Z185" s="0" t="s">
        <v>415</v>
      </c>
      <c r="AA185" s="0" t="n">
        <v>0.96</v>
      </c>
      <c r="AB185" s="0" t="s">
        <v>202</v>
      </c>
      <c r="AC185" s="0" t="n">
        <v>7086000</v>
      </c>
      <c r="AD185" s="0" t="n">
        <v>6749000</v>
      </c>
      <c r="AE185" s="0" t="n">
        <v>7030208.33</v>
      </c>
      <c r="AF185" s="0" t="n">
        <v>0.6354</v>
      </c>
      <c r="AG185" s="0" t="n">
        <v>4288000</v>
      </c>
      <c r="AH185" s="0" t="n">
        <v>4288000</v>
      </c>
      <c r="AI185" s="0" t="n">
        <v>2461000</v>
      </c>
      <c r="AJ185" s="0" t="n">
        <v>6749000</v>
      </c>
      <c r="AK185" s="0" t="n">
        <v>4288000</v>
      </c>
      <c r="AL185" s="0" t="n">
        <v>4288000</v>
      </c>
      <c r="AM185" s="0" t="s">
        <v>194</v>
      </c>
      <c r="AN185" s="0" t="n">
        <v>5.703</v>
      </c>
      <c r="AO185" s="0" t="n">
        <v>3.324</v>
      </c>
      <c r="AP185" s="0" t="n">
        <v>5.259</v>
      </c>
      <c r="AQ185" s="0" t="n">
        <v>100</v>
      </c>
      <c r="AR185" s="0" t="n">
        <v>100</v>
      </c>
      <c r="AS185" s="1" t="n">
        <v>45507</v>
      </c>
      <c r="AT185" s="1" t="n">
        <v>51716</v>
      </c>
      <c r="AU185" s="1" t="n">
        <v>46295</v>
      </c>
      <c r="AV185" s="0" t="s">
        <v>599</v>
      </c>
      <c r="AW185" s="0" t="s">
        <v>529</v>
      </c>
      <c r="AX185" s="0" t="s">
        <v>187</v>
      </c>
      <c r="AY185" s="0" t="s">
        <v>600</v>
      </c>
      <c r="AZ185" s="0" t="s">
        <v>601</v>
      </c>
      <c r="BA185" s="0" t="s">
        <v>413</v>
      </c>
      <c r="BB185" s="0" t="s">
        <v>529</v>
      </c>
      <c r="BC185" s="0" t="s">
        <v>602</v>
      </c>
      <c r="BI185" s="0" t="n">
        <v>6749000</v>
      </c>
      <c r="BJ185" s="0" t="n">
        <v>7030208.33</v>
      </c>
      <c r="BK185" s="0" t="s">
        <v>200</v>
      </c>
      <c r="BL185" s="0" t="s">
        <v>201</v>
      </c>
      <c r="BN185" s="0" t="n">
        <v>10.2</v>
      </c>
      <c r="BO185" s="0" t="n">
        <v>15.09</v>
      </c>
      <c r="BP185" s="0" t="s">
        <v>202</v>
      </c>
      <c r="BQ185" s="0" t="s">
        <v>187</v>
      </c>
      <c r="BR185" s="0" t="s">
        <v>203</v>
      </c>
      <c r="BS185" s="0" t="s">
        <v>606</v>
      </c>
      <c r="BT185" s="0" t="s">
        <v>224</v>
      </c>
      <c r="BU185" s="0" t="s">
        <v>216</v>
      </c>
      <c r="BW185" s="0" t="s">
        <v>206</v>
      </c>
      <c r="BX185" s="0" t="s">
        <v>207</v>
      </c>
      <c r="BY185" s="0" t="n">
        <v>260</v>
      </c>
      <c r="BZ185" s="0" t="n">
        <v>260</v>
      </c>
      <c r="CB185" s="0" t="s">
        <v>208</v>
      </c>
      <c r="CC185" s="0" t="s">
        <v>209</v>
      </c>
      <c r="CD185" s="0" t="s">
        <v>209</v>
      </c>
      <c r="CE185" s="0" t="s">
        <v>211</v>
      </c>
      <c r="CF185" s="0" t="s">
        <v>209</v>
      </c>
      <c r="CG185" s="0" t="s">
        <v>211</v>
      </c>
      <c r="CH185" s="1" t="n">
        <v>46112</v>
      </c>
      <c r="CI185" s="0" t="n">
        <v>1.2</v>
      </c>
      <c r="CJ185" s="0" t="n">
        <v>2.1</v>
      </c>
      <c r="CK185" s="0" t="n">
        <v>2.21</v>
      </c>
      <c r="CL185" s="0" t="s">
        <v>212</v>
      </c>
      <c r="DA185" s="0" t="n">
        <v>0.69</v>
      </c>
      <c r="DC185" s="0" t="n">
        <v>0.85</v>
      </c>
      <c r="DD185" s="0" t="s">
        <v>212</v>
      </c>
      <c r="ED185" s="0" t="s">
        <v>212</v>
      </c>
      <c r="EE185" s="0" t="n">
        <v>1.05</v>
      </c>
      <c r="EI185" s="0" t="n">
        <v>1.6</v>
      </c>
      <c r="FQ185" s="0" t="n">
        <v>18418491</v>
      </c>
    </row>
    <row r="186" customFormat="false" ht="15" hidden="false" customHeight="false" outlineLevel="0" collapsed="false">
      <c r="B186" s="0" t="str">
        <f aca="false">C186&amp;"x"&amp;I186</f>
        <v>61008x100239</v>
      </c>
      <c r="C186" s="0" t="n">
        <f aca="false">IF(G186="SINGLE",H186,G186)</f>
        <v>61008</v>
      </c>
      <c r="D186" s="0" t="e">
        <f aca="false">_xlfn.XLOOKUP(I186,calculations!$t:$t,calculations!$s:$s)</f>
        <v>#VALUE!</v>
      </c>
      <c r="E186" s="0" t="str">
        <f aca="false">_xlfn.XLOOKUP(I186,Mapping!$T:$T,Mapping!$Q:$Q)</f>
        <v>KITE35</v>
      </c>
      <c r="F186" s="1" t="n">
        <v>46203</v>
      </c>
      <c r="G186" s="0" t="n">
        <v>61008</v>
      </c>
      <c r="H186" s="0" t="n">
        <v>61008</v>
      </c>
      <c r="I186" s="0" t="n">
        <v>100239</v>
      </c>
      <c r="J186" s="0" t="s">
        <v>596</v>
      </c>
      <c r="K186" s="0" t="s">
        <v>277</v>
      </c>
      <c r="L186" s="0" t="s">
        <v>277</v>
      </c>
      <c r="M186" s="0" t="s">
        <v>184</v>
      </c>
      <c r="N186" s="0" t="n">
        <v>7017000</v>
      </c>
      <c r="O186" s="0" t="n">
        <v>7309375</v>
      </c>
      <c r="P186" s="0" t="s">
        <v>185</v>
      </c>
      <c r="Q186" s="0" t="s">
        <v>227</v>
      </c>
      <c r="R186" s="0" t="s">
        <v>202</v>
      </c>
      <c r="S186" s="0" t="s">
        <v>597</v>
      </c>
      <c r="T186" s="0" t="s">
        <v>189</v>
      </c>
      <c r="U186" s="0" t="s">
        <v>412</v>
      </c>
      <c r="V186" s="0" t="s">
        <v>413</v>
      </c>
      <c r="W186" s="0" t="s">
        <v>544</v>
      </c>
      <c r="X186" s="0" t="s">
        <v>598</v>
      </c>
      <c r="Y186" s="0" t="n">
        <v>9.6</v>
      </c>
      <c r="Z186" s="0" t="s">
        <v>415</v>
      </c>
      <c r="AA186" s="0" t="n">
        <v>0.96</v>
      </c>
      <c r="AB186" s="0" t="s">
        <v>202</v>
      </c>
      <c r="AC186" s="0" t="n">
        <v>11597000</v>
      </c>
      <c r="AD186" s="0" t="n">
        <v>11045000</v>
      </c>
      <c r="AE186" s="0" t="n">
        <v>11505208.33</v>
      </c>
      <c r="AF186" s="0" t="n">
        <v>0.6353</v>
      </c>
      <c r="AG186" s="0" t="n">
        <v>7017000</v>
      </c>
      <c r="AH186" s="0" t="n">
        <v>7017000</v>
      </c>
      <c r="AI186" s="0" t="n">
        <v>4028000</v>
      </c>
      <c r="AJ186" s="0" t="n">
        <v>11045000</v>
      </c>
      <c r="AK186" s="0" t="n">
        <v>7017000</v>
      </c>
      <c r="AL186" s="0" t="n">
        <v>7017000</v>
      </c>
      <c r="AM186" s="0" t="s">
        <v>194</v>
      </c>
      <c r="AN186" s="0" t="n">
        <v>5.771</v>
      </c>
      <c r="AO186" s="0" t="n">
        <v>6.138</v>
      </c>
      <c r="AP186" s="0" t="n">
        <v>3.981</v>
      </c>
      <c r="AQ186" s="0" t="n">
        <v>100</v>
      </c>
      <c r="AR186" s="0" t="n">
        <v>100</v>
      </c>
      <c r="AS186" s="1" t="n">
        <v>45507</v>
      </c>
      <c r="AT186" s="1" t="n">
        <v>51716</v>
      </c>
      <c r="AU186" s="1" t="n">
        <v>46295</v>
      </c>
      <c r="AV186" s="0" t="s">
        <v>599</v>
      </c>
      <c r="AW186" s="0" t="s">
        <v>529</v>
      </c>
      <c r="AX186" s="0" t="s">
        <v>187</v>
      </c>
      <c r="AY186" s="0" t="s">
        <v>600</v>
      </c>
      <c r="AZ186" s="0" t="s">
        <v>601</v>
      </c>
      <c r="BA186" s="0" t="s">
        <v>413</v>
      </c>
      <c r="BB186" s="0" t="s">
        <v>529</v>
      </c>
      <c r="BC186" s="0" t="s">
        <v>602</v>
      </c>
      <c r="BI186" s="0" t="n">
        <v>11045000</v>
      </c>
      <c r="BJ186" s="0" t="n">
        <v>11505208.33</v>
      </c>
      <c r="BK186" s="0" t="s">
        <v>200</v>
      </c>
      <c r="BL186" s="0" t="s">
        <v>201</v>
      </c>
      <c r="BN186" s="0" t="n">
        <v>10.2</v>
      </c>
      <c r="BO186" s="0" t="n">
        <v>15.09</v>
      </c>
      <c r="BP186" s="0" t="s">
        <v>202</v>
      </c>
      <c r="BQ186" s="0" t="s">
        <v>187</v>
      </c>
      <c r="BR186" s="0" t="s">
        <v>203</v>
      </c>
      <c r="BS186" s="0" t="s">
        <v>603</v>
      </c>
      <c r="BT186" s="0" t="s">
        <v>224</v>
      </c>
      <c r="BU186" s="0" t="s">
        <v>205</v>
      </c>
      <c r="BW186" s="0" t="s">
        <v>206</v>
      </c>
      <c r="BX186" s="0" t="s">
        <v>217</v>
      </c>
      <c r="BY186" s="0" t="n">
        <v>260</v>
      </c>
      <c r="BZ186" s="0" t="n">
        <v>260</v>
      </c>
      <c r="CB186" s="0" t="s">
        <v>208</v>
      </c>
      <c r="CC186" s="0" t="s">
        <v>209</v>
      </c>
      <c r="CD186" s="0" t="s">
        <v>209</v>
      </c>
      <c r="CE186" s="0" t="s">
        <v>211</v>
      </c>
      <c r="CF186" s="0" t="s">
        <v>209</v>
      </c>
      <c r="CG186" s="0" t="s">
        <v>211</v>
      </c>
      <c r="CH186" s="1" t="n">
        <v>46112</v>
      </c>
      <c r="CI186" s="0" t="n">
        <v>1.2</v>
      </c>
      <c r="CJ186" s="0" t="n">
        <v>1.75</v>
      </c>
      <c r="CK186" s="0" t="n">
        <v>1.84</v>
      </c>
      <c r="CL186" s="0" t="s">
        <v>212</v>
      </c>
      <c r="DA186" s="0" t="n">
        <v>0.53</v>
      </c>
      <c r="DC186" s="0" t="n">
        <v>0.85</v>
      </c>
      <c r="DD186" s="0" t="s">
        <v>212</v>
      </c>
      <c r="ED186" s="0" t="s">
        <v>212</v>
      </c>
      <c r="EE186" s="0" t="n">
        <v>1.05</v>
      </c>
      <c r="EI186" s="0" t="n">
        <v>1.76</v>
      </c>
      <c r="FQ186" s="0" t="n">
        <v>17176781</v>
      </c>
    </row>
    <row r="187" customFormat="false" ht="15" hidden="false" customHeight="false" outlineLevel="0" collapsed="false">
      <c r="B187" s="0" t="str">
        <f aca="false">C187&amp;"x"&amp;I187</f>
        <v>61008x100240</v>
      </c>
      <c r="C187" s="0" t="n">
        <f aca="false">IF(G187="SINGLE",H187,G187)</f>
        <v>61008</v>
      </c>
      <c r="D187" s="0" t="e">
        <f aca="false">_xlfn.XLOOKUP(I187,calculations!$t:$t,calculations!$s:$s)</f>
        <v>#VALUE!</v>
      </c>
      <c r="E187" s="0" t="str">
        <f aca="false">_xlfn.XLOOKUP(I187,Mapping!$T:$T,Mapping!$Q:$Q)</f>
        <v>KITE35</v>
      </c>
      <c r="F187" s="1" t="n">
        <v>46203</v>
      </c>
      <c r="G187" s="0" t="n">
        <v>61008</v>
      </c>
      <c r="H187" s="0" t="n">
        <v>61008</v>
      </c>
      <c r="I187" s="0" t="n">
        <v>100240</v>
      </c>
      <c r="J187" s="0" t="s">
        <v>604</v>
      </c>
      <c r="K187" s="0" t="s">
        <v>277</v>
      </c>
      <c r="L187" s="0" t="s">
        <v>277</v>
      </c>
      <c r="M187" s="0" t="s">
        <v>184</v>
      </c>
      <c r="N187" s="0" t="n">
        <v>4678000</v>
      </c>
      <c r="O187" s="0" t="n">
        <v>4872916.67</v>
      </c>
      <c r="P187" s="0" t="s">
        <v>185</v>
      </c>
      <c r="Q187" s="0" t="s">
        <v>227</v>
      </c>
      <c r="R187" s="0" t="s">
        <v>202</v>
      </c>
      <c r="S187" s="0" t="s">
        <v>605</v>
      </c>
      <c r="T187" s="0" t="s">
        <v>189</v>
      </c>
      <c r="U187" s="0" t="s">
        <v>412</v>
      </c>
      <c r="V187" s="0" t="s">
        <v>413</v>
      </c>
      <c r="W187" s="0" t="s">
        <v>544</v>
      </c>
      <c r="X187" s="0" t="s">
        <v>598</v>
      </c>
      <c r="Y187" s="0" t="n">
        <v>9.6</v>
      </c>
      <c r="Z187" s="0" t="s">
        <v>415</v>
      </c>
      <c r="AA187" s="0" t="n">
        <v>0.96</v>
      </c>
      <c r="AB187" s="0" t="s">
        <v>202</v>
      </c>
      <c r="AC187" s="0" t="n">
        <v>7731000</v>
      </c>
      <c r="AD187" s="0" t="n">
        <v>7363000</v>
      </c>
      <c r="AE187" s="0" t="n">
        <v>7669791.67</v>
      </c>
      <c r="AF187" s="0" t="n">
        <v>0.6353</v>
      </c>
      <c r="AG187" s="0" t="n">
        <v>4678000</v>
      </c>
      <c r="AH187" s="0" t="n">
        <v>4678000</v>
      </c>
      <c r="AI187" s="0" t="n">
        <v>2685000</v>
      </c>
      <c r="AJ187" s="0" t="n">
        <v>7363000</v>
      </c>
      <c r="AK187" s="0" t="n">
        <v>4678000</v>
      </c>
      <c r="AL187" s="0" t="n">
        <v>4678000</v>
      </c>
      <c r="AM187" s="0" t="s">
        <v>194</v>
      </c>
      <c r="AN187" s="0" t="n">
        <v>5.083</v>
      </c>
      <c r="AO187" s="0" t="n">
        <v>4.857</v>
      </c>
      <c r="AP187" s="0" t="n">
        <v>3.377</v>
      </c>
      <c r="AQ187" s="0" t="n">
        <v>100</v>
      </c>
      <c r="AR187" s="0" t="n">
        <v>100</v>
      </c>
      <c r="AS187" s="1" t="n">
        <v>45507</v>
      </c>
      <c r="AT187" s="1" t="n">
        <v>51716</v>
      </c>
      <c r="AU187" s="1" t="n">
        <v>46295</v>
      </c>
      <c r="AV187" s="0" t="s">
        <v>599</v>
      </c>
      <c r="AW187" s="0" t="s">
        <v>529</v>
      </c>
      <c r="AX187" s="0" t="s">
        <v>187</v>
      </c>
      <c r="AY187" s="0" t="s">
        <v>600</v>
      </c>
      <c r="AZ187" s="0" t="s">
        <v>601</v>
      </c>
      <c r="BA187" s="0" t="s">
        <v>413</v>
      </c>
      <c r="BB187" s="0" t="s">
        <v>529</v>
      </c>
      <c r="BC187" s="0" t="s">
        <v>602</v>
      </c>
      <c r="BI187" s="0" t="n">
        <v>7363000</v>
      </c>
      <c r="BJ187" s="0" t="n">
        <v>7669791.67</v>
      </c>
      <c r="BK187" s="0" t="s">
        <v>200</v>
      </c>
      <c r="BL187" s="0" t="s">
        <v>201</v>
      </c>
      <c r="BN187" s="0" t="n">
        <v>10.2</v>
      </c>
      <c r="BO187" s="0" t="n">
        <v>15.09</v>
      </c>
      <c r="BP187" s="0" t="s">
        <v>202</v>
      </c>
      <c r="BQ187" s="0" t="s">
        <v>187</v>
      </c>
      <c r="BR187" s="0" t="s">
        <v>203</v>
      </c>
      <c r="BS187" s="0" t="s">
        <v>606</v>
      </c>
      <c r="BT187" s="0" t="s">
        <v>224</v>
      </c>
      <c r="BU187" s="0" t="s">
        <v>220</v>
      </c>
      <c r="BW187" s="0" t="s">
        <v>257</v>
      </c>
      <c r="BX187" s="0" t="s">
        <v>217</v>
      </c>
      <c r="BY187" s="0" t="n">
        <v>260</v>
      </c>
      <c r="BZ187" s="0" t="n">
        <v>260</v>
      </c>
      <c r="CB187" s="0" t="s">
        <v>208</v>
      </c>
      <c r="CC187" s="0" t="s">
        <v>209</v>
      </c>
      <c r="CD187" s="0" t="s">
        <v>209</v>
      </c>
      <c r="CE187" s="0" t="s">
        <v>211</v>
      </c>
      <c r="CF187" s="0" t="s">
        <v>209</v>
      </c>
      <c r="CG187" s="0" t="s">
        <v>211</v>
      </c>
      <c r="CH187" s="1" t="n">
        <v>46112</v>
      </c>
      <c r="CI187" s="0" t="n">
        <v>1.2</v>
      </c>
      <c r="CJ187" s="0" t="n">
        <v>3.44</v>
      </c>
      <c r="CK187" s="0" t="n">
        <v>3.61</v>
      </c>
      <c r="CL187" s="0" t="s">
        <v>212</v>
      </c>
      <c r="DA187" s="0" t="n">
        <v>0.78</v>
      </c>
      <c r="DC187" s="0" t="n">
        <v>0.85</v>
      </c>
      <c r="DD187" s="0" t="s">
        <v>212</v>
      </c>
      <c r="ED187" s="0" t="s">
        <v>212</v>
      </c>
      <c r="EE187" s="0" t="n">
        <v>1.05</v>
      </c>
      <c r="EI187" s="0" t="n">
        <v>1.6</v>
      </c>
      <c r="FQ187" s="0" t="n">
        <v>16114702</v>
      </c>
    </row>
    <row r="188" customFormat="false" ht="15" hidden="false" customHeight="false" outlineLevel="0" collapsed="false">
      <c r="B188" s="0" t="str">
        <f aca="false">C188&amp;"x"&amp;I188</f>
        <v>61001x100241</v>
      </c>
      <c r="C188" s="0" t="n">
        <f aca="false">IF(G188="SINGLE",H188,G188)</f>
        <v>61001</v>
      </c>
      <c r="D188" s="0" t="e">
        <f aca="false">_xlfn.XLOOKUP(I188,calculations!$t:$t,calculations!$s:$s)</f>
        <v>#VALUE!</v>
      </c>
      <c r="E188" s="0" t="str">
        <f aca="false">_xlfn.XLOOKUP(I188,Mapping!$T:$T,Mapping!$Q:$Q)</f>
        <v>LANT36</v>
      </c>
      <c r="F188" s="1" t="n">
        <v>46203</v>
      </c>
      <c r="G188" s="0" t="n">
        <v>61001</v>
      </c>
      <c r="H188" s="0" t="n">
        <v>61001</v>
      </c>
      <c r="I188" s="0" t="n">
        <v>100241</v>
      </c>
      <c r="J188" s="0" t="s">
        <v>607</v>
      </c>
      <c r="K188" s="0" t="s">
        <v>345</v>
      </c>
      <c r="L188" s="0" t="s">
        <v>345</v>
      </c>
      <c r="M188" s="0" t="s">
        <v>184</v>
      </c>
      <c r="N188" s="0" t="n">
        <v>34050000</v>
      </c>
      <c r="O188" s="0" t="n">
        <v>34050000</v>
      </c>
      <c r="P188" s="0" t="s">
        <v>185</v>
      </c>
      <c r="Q188" s="0" t="s">
        <v>227</v>
      </c>
      <c r="R188" s="0" t="s">
        <v>187</v>
      </c>
      <c r="S188" s="0" t="s">
        <v>608</v>
      </c>
      <c r="T188" s="0" t="s">
        <v>189</v>
      </c>
      <c r="U188" s="0" t="s">
        <v>307</v>
      </c>
      <c r="V188" s="0" t="s">
        <v>308</v>
      </c>
      <c r="W188" s="0" t="s">
        <v>296</v>
      </c>
      <c r="X188" s="0" t="s">
        <v>609</v>
      </c>
      <c r="Y188" s="0" t="n">
        <v>14.1</v>
      </c>
      <c r="Z188" s="0" t="s">
        <v>185</v>
      </c>
      <c r="AA188" s="0" t="n">
        <v>1</v>
      </c>
      <c r="AB188" s="0" t="s">
        <v>187</v>
      </c>
      <c r="AC188" s="0" t="n">
        <v>37658000</v>
      </c>
      <c r="AD188" s="0" t="n">
        <v>37658000</v>
      </c>
      <c r="AE188" s="0" t="n">
        <v>37658000</v>
      </c>
      <c r="AF188" s="0" t="n">
        <v>0.9042</v>
      </c>
      <c r="AG188" s="0" t="n">
        <v>34050000</v>
      </c>
      <c r="AH188" s="0" t="n">
        <v>34050000</v>
      </c>
      <c r="AI188" s="0" t="n">
        <v>3608000</v>
      </c>
      <c r="AJ188" s="0" t="n">
        <v>37658000</v>
      </c>
      <c r="AK188" s="0" t="n">
        <v>34050000</v>
      </c>
      <c r="AL188" s="0" t="n">
        <v>34050000</v>
      </c>
      <c r="AN188" s="0" t="n">
        <v>5.194</v>
      </c>
      <c r="AO188" s="0" t="n">
        <v>3.123</v>
      </c>
      <c r="AP188" s="0" t="n">
        <v>5.482</v>
      </c>
      <c r="AQ188" s="0" t="n">
        <v>100</v>
      </c>
      <c r="AR188" s="0" t="n">
        <v>100</v>
      </c>
      <c r="AS188" s="1" t="n">
        <v>43054</v>
      </c>
      <c r="AT188" s="1" t="n">
        <v>51271</v>
      </c>
      <c r="AU188" s="1" t="n">
        <v>46295</v>
      </c>
      <c r="AV188" s="0" t="s">
        <v>610</v>
      </c>
      <c r="AW188" s="0" t="s">
        <v>529</v>
      </c>
      <c r="AX188" s="0" t="s">
        <v>187</v>
      </c>
      <c r="AY188" s="0" t="s">
        <v>611</v>
      </c>
      <c r="AZ188" s="0" t="s">
        <v>612</v>
      </c>
      <c r="BA188" s="0" t="s">
        <v>308</v>
      </c>
      <c r="BB188" s="0" t="s">
        <v>529</v>
      </c>
      <c r="BC188" s="0" t="s">
        <v>613</v>
      </c>
      <c r="BI188" s="0" t="n">
        <v>37658000</v>
      </c>
      <c r="BJ188" s="0" t="n">
        <v>37658000</v>
      </c>
      <c r="BK188" s="0" t="s">
        <v>253</v>
      </c>
      <c r="BL188" s="0" t="s">
        <v>201</v>
      </c>
      <c r="BN188" s="0" t="n">
        <v>13.5</v>
      </c>
      <c r="BO188" s="0" t="n">
        <v>13.88</v>
      </c>
      <c r="BP188" s="0" t="s">
        <v>187</v>
      </c>
      <c r="BQ188" s="0" t="s">
        <v>187</v>
      </c>
      <c r="BR188" s="0" t="s">
        <v>203</v>
      </c>
      <c r="BS188" s="0" t="s">
        <v>614</v>
      </c>
      <c r="BT188" s="0" t="s">
        <v>220</v>
      </c>
      <c r="BU188" s="0" t="s">
        <v>220</v>
      </c>
      <c r="BW188" s="0" t="s">
        <v>257</v>
      </c>
      <c r="BX188" s="0" t="s">
        <v>207</v>
      </c>
      <c r="BY188" s="0" t="n">
        <v>225</v>
      </c>
      <c r="BZ188" s="0" t="n">
        <v>225</v>
      </c>
      <c r="CC188" s="0" t="s">
        <v>239</v>
      </c>
      <c r="CD188" s="0" t="s">
        <v>239</v>
      </c>
      <c r="CE188" s="0" t="s">
        <v>211</v>
      </c>
      <c r="CF188" s="0" t="s">
        <v>211</v>
      </c>
      <c r="CG188" s="0" t="s">
        <v>211</v>
      </c>
      <c r="CH188" s="1" t="n">
        <v>46112</v>
      </c>
      <c r="CI188" s="0" t="n">
        <v>1.2</v>
      </c>
      <c r="CJ188" s="0" t="n">
        <v>1.5</v>
      </c>
      <c r="CK188" s="0" t="n">
        <v>1.58</v>
      </c>
      <c r="CL188" s="0" t="s">
        <v>212</v>
      </c>
      <c r="DA188" s="0" t="n">
        <v>0.48</v>
      </c>
      <c r="DC188" s="0" t="n">
        <v>0.85</v>
      </c>
      <c r="DD188" s="0" t="s">
        <v>212</v>
      </c>
      <c r="ED188" s="0" t="s">
        <v>212</v>
      </c>
      <c r="EE188" s="0" t="n">
        <v>1.05</v>
      </c>
      <c r="EI188" s="0" t="n">
        <v>1.5</v>
      </c>
      <c r="FQ188" s="0" t="n">
        <v>52191575</v>
      </c>
    </row>
    <row r="189" customFormat="false" ht="15" hidden="false" customHeight="false" outlineLevel="0" collapsed="false">
      <c r="B189" s="0" t="str">
        <f aca="false">C189&amp;"x"&amp;I189</f>
        <v>61020x100241</v>
      </c>
      <c r="C189" s="0" t="n">
        <f aca="false">IF(G189="SINGLE",H189,G189)</f>
        <v>61020</v>
      </c>
      <c r="D189" s="0" t="e">
        <f aca="false">_xlfn.XLOOKUP(I189,calculations!$t:$t,calculations!$s:$s)</f>
        <v>#VALUE!</v>
      </c>
      <c r="E189" s="0" t="str">
        <f aca="false">_xlfn.XLOOKUP(I189,Mapping!$T:$T,Mapping!$Q:$Q)</f>
        <v>LANT36</v>
      </c>
      <c r="F189" s="1" t="n">
        <v>46203</v>
      </c>
      <c r="G189" s="0" t="n">
        <v>61020</v>
      </c>
      <c r="H189" s="0" t="n">
        <v>61020</v>
      </c>
      <c r="I189" s="0" t="n">
        <v>100241</v>
      </c>
      <c r="J189" s="0" t="s">
        <v>607</v>
      </c>
      <c r="K189" s="0" t="s">
        <v>293</v>
      </c>
      <c r="L189" s="0" t="s">
        <v>293</v>
      </c>
      <c r="M189" s="0" t="s">
        <v>184</v>
      </c>
      <c r="N189" s="0" t="n">
        <v>52921000</v>
      </c>
      <c r="O189" s="0" t="n">
        <v>52921000</v>
      </c>
      <c r="P189" s="0" t="s">
        <v>185</v>
      </c>
      <c r="Q189" s="0" t="s">
        <v>227</v>
      </c>
      <c r="R189" s="0" t="s">
        <v>187</v>
      </c>
      <c r="S189" s="0" t="s">
        <v>608</v>
      </c>
      <c r="T189" s="0" t="s">
        <v>189</v>
      </c>
      <c r="U189" s="0" t="s">
        <v>307</v>
      </c>
      <c r="V189" s="0" t="s">
        <v>308</v>
      </c>
      <c r="W189" s="0" t="s">
        <v>296</v>
      </c>
      <c r="X189" s="0" t="s">
        <v>609</v>
      </c>
      <c r="Y189" s="0" t="n">
        <v>14.1</v>
      </c>
      <c r="Z189" s="0" t="s">
        <v>185</v>
      </c>
      <c r="AA189" s="0" t="n">
        <v>1</v>
      </c>
      <c r="AB189" s="0" t="s">
        <v>187</v>
      </c>
      <c r="AC189" s="0" t="n">
        <v>58529000</v>
      </c>
      <c r="AD189" s="0" t="n">
        <v>58529000</v>
      </c>
      <c r="AE189" s="0" t="n">
        <v>58529000</v>
      </c>
      <c r="AF189" s="0" t="n">
        <v>0.9042</v>
      </c>
      <c r="AG189" s="0" t="n">
        <v>52921000</v>
      </c>
      <c r="AH189" s="0" t="n">
        <v>52921000</v>
      </c>
      <c r="AI189" s="0" t="n">
        <v>5608000</v>
      </c>
      <c r="AJ189" s="0" t="n">
        <v>58529000</v>
      </c>
      <c r="AK189" s="0" t="n">
        <v>52921000</v>
      </c>
      <c r="AL189" s="0" t="n">
        <v>52921000</v>
      </c>
      <c r="AN189" s="0" t="n">
        <v>4.292</v>
      </c>
      <c r="AO189" s="0" t="n">
        <v>5.037</v>
      </c>
      <c r="AP189" s="0" t="n">
        <v>4.327</v>
      </c>
      <c r="AQ189" s="0" t="n">
        <v>100</v>
      </c>
      <c r="AR189" s="0" t="n">
        <v>100</v>
      </c>
      <c r="AS189" s="1" t="n">
        <v>43054</v>
      </c>
      <c r="AT189" s="1" t="n">
        <v>51271</v>
      </c>
      <c r="AU189" s="1" t="n">
        <v>46295</v>
      </c>
      <c r="AV189" s="0" t="s">
        <v>610</v>
      </c>
      <c r="AW189" s="0" t="s">
        <v>529</v>
      </c>
      <c r="AX189" s="0" t="s">
        <v>187</v>
      </c>
      <c r="AY189" s="0" t="s">
        <v>611</v>
      </c>
      <c r="AZ189" s="0" t="s">
        <v>612</v>
      </c>
      <c r="BA189" s="0" t="s">
        <v>308</v>
      </c>
      <c r="BB189" s="0" t="s">
        <v>529</v>
      </c>
      <c r="BC189" s="0" t="s">
        <v>613</v>
      </c>
      <c r="BI189" s="0" t="n">
        <v>58529000</v>
      </c>
      <c r="BJ189" s="0" t="n">
        <v>58529000</v>
      </c>
      <c r="BK189" s="0" t="s">
        <v>253</v>
      </c>
      <c r="BL189" s="0" t="s">
        <v>201</v>
      </c>
      <c r="BN189" s="0" t="n">
        <v>13.5</v>
      </c>
      <c r="BO189" s="0" t="n">
        <v>13.88</v>
      </c>
      <c r="BP189" s="0" t="s">
        <v>187</v>
      </c>
      <c r="BQ189" s="0" t="s">
        <v>187</v>
      </c>
      <c r="BR189" s="0" t="s">
        <v>203</v>
      </c>
      <c r="BS189" s="0" t="s">
        <v>614</v>
      </c>
      <c r="BT189" s="0" t="s">
        <v>220</v>
      </c>
      <c r="BU189" s="0" t="s">
        <v>224</v>
      </c>
      <c r="BW189" s="0" t="s">
        <v>206</v>
      </c>
      <c r="BX189" s="0" t="s">
        <v>217</v>
      </c>
      <c r="BY189" s="0" t="n">
        <v>225</v>
      </c>
      <c r="BZ189" s="0" t="n">
        <v>225</v>
      </c>
      <c r="CC189" s="0" t="s">
        <v>239</v>
      </c>
      <c r="CD189" s="0" t="s">
        <v>239</v>
      </c>
      <c r="CE189" s="0" t="s">
        <v>211</v>
      </c>
      <c r="CF189" s="0" t="s">
        <v>211</v>
      </c>
      <c r="CG189" s="0" t="s">
        <v>211</v>
      </c>
      <c r="CH189" s="1" t="n">
        <v>46112</v>
      </c>
      <c r="CI189" s="0" t="n">
        <v>1.2</v>
      </c>
      <c r="CJ189" s="0" t="n">
        <v>1.58</v>
      </c>
      <c r="CK189" s="0" t="n">
        <v>1.66</v>
      </c>
      <c r="CL189" s="0" t="s">
        <v>212</v>
      </c>
      <c r="DA189" s="0" t="n">
        <v>0.73</v>
      </c>
      <c r="DC189" s="0" t="n">
        <v>0.85</v>
      </c>
      <c r="DD189" s="0" t="s">
        <v>212</v>
      </c>
      <c r="ED189" s="0" t="s">
        <v>212</v>
      </c>
      <c r="EE189" s="0" t="n">
        <v>1.05</v>
      </c>
      <c r="EI189" s="0" t="n">
        <v>1.71</v>
      </c>
      <c r="FQ189" s="0" t="n">
        <v>53356968</v>
      </c>
    </row>
    <row r="190" customFormat="false" ht="15" hidden="false" customHeight="false" outlineLevel="0" collapsed="false">
      <c r="B190" s="0" t="str">
        <f aca="false">C190&amp;"x"&amp;I190</f>
        <v>61019x100241</v>
      </c>
      <c r="C190" s="0" t="n">
        <f aca="false">IF(G190="SINGLE",H190,G190)</f>
        <v>61019</v>
      </c>
      <c r="D190" s="0" t="e">
        <f aca="false">_xlfn.XLOOKUP(I190,calculations!$t:$t,calculations!$s:$s)</f>
        <v>#VALUE!</v>
      </c>
      <c r="E190" s="0" t="str">
        <f aca="false">_xlfn.XLOOKUP(I190,Mapping!$T:$T,Mapping!$Q:$Q)</f>
        <v>LANT36</v>
      </c>
      <c r="F190" s="1" t="n">
        <v>46203</v>
      </c>
      <c r="G190" s="0" t="n">
        <v>61019</v>
      </c>
      <c r="H190" s="0" t="n">
        <v>61019</v>
      </c>
      <c r="I190" s="0" t="n">
        <v>100241</v>
      </c>
      <c r="J190" s="0" t="s">
        <v>607</v>
      </c>
      <c r="K190" s="0" t="s">
        <v>223</v>
      </c>
      <c r="L190" s="0" t="s">
        <v>223</v>
      </c>
      <c r="M190" s="0" t="s">
        <v>184</v>
      </c>
      <c r="N190" s="0" t="n">
        <v>20818000</v>
      </c>
      <c r="O190" s="0" t="n">
        <v>20818000</v>
      </c>
      <c r="P190" s="0" t="s">
        <v>185</v>
      </c>
      <c r="Q190" s="0" t="s">
        <v>227</v>
      </c>
      <c r="R190" s="0" t="s">
        <v>187</v>
      </c>
      <c r="S190" s="0" t="s">
        <v>608</v>
      </c>
      <c r="T190" s="0" t="s">
        <v>189</v>
      </c>
      <c r="U190" s="0" t="s">
        <v>307</v>
      </c>
      <c r="V190" s="0" t="s">
        <v>308</v>
      </c>
      <c r="W190" s="0" t="s">
        <v>296</v>
      </c>
      <c r="X190" s="0" t="s">
        <v>609</v>
      </c>
      <c r="Y190" s="0" t="n">
        <v>14.1</v>
      </c>
      <c r="Z190" s="0" t="s">
        <v>185</v>
      </c>
      <c r="AA190" s="0" t="n">
        <v>1</v>
      </c>
      <c r="AB190" s="0" t="s">
        <v>187</v>
      </c>
      <c r="AC190" s="0" t="n">
        <v>23024000</v>
      </c>
      <c r="AD190" s="0" t="n">
        <v>23024000</v>
      </c>
      <c r="AE190" s="0" t="n">
        <v>23024000</v>
      </c>
      <c r="AF190" s="0" t="n">
        <v>0.9042</v>
      </c>
      <c r="AG190" s="0" t="n">
        <v>20818000</v>
      </c>
      <c r="AH190" s="0" t="n">
        <v>20818000</v>
      </c>
      <c r="AI190" s="0" t="n">
        <v>2206000</v>
      </c>
      <c r="AJ190" s="0" t="n">
        <v>23024000</v>
      </c>
      <c r="AK190" s="0" t="n">
        <v>20818000</v>
      </c>
      <c r="AL190" s="0" t="n">
        <v>20818000</v>
      </c>
      <c r="AN190" s="0" t="n">
        <v>6.243</v>
      </c>
      <c r="AO190" s="0" t="n">
        <v>5.825</v>
      </c>
      <c r="AP190" s="0" t="n">
        <v>3.006</v>
      </c>
      <c r="AQ190" s="0" t="n">
        <v>100</v>
      </c>
      <c r="AR190" s="0" t="n">
        <v>100</v>
      </c>
      <c r="AS190" s="1" t="n">
        <v>43054</v>
      </c>
      <c r="AT190" s="1" t="n">
        <v>51271</v>
      </c>
      <c r="AU190" s="1" t="n">
        <v>46295</v>
      </c>
      <c r="AV190" s="0" t="s">
        <v>610</v>
      </c>
      <c r="AW190" s="0" t="s">
        <v>529</v>
      </c>
      <c r="AX190" s="0" t="s">
        <v>187</v>
      </c>
      <c r="AY190" s="0" t="s">
        <v>611</v>
      </c>
      <c r="AZ190" s="0" t="s">
        <v>612</v>
      </c>
      <c r="BA190" s="0" t="s">
        <v>308</v>
      </c>
      <c r="BB190" s="0" t="s">
        <v>529</v>
      </c>
      <c r="BC190" s="0" t="s">
        <v>613</v>
      </c>
      <c r="BI190" s="0" t="n">
        <v>23024000</v>
      </c>
      <c r="BJ190" s="0" t="n">
        <v>23024000</v>
      </c>
      <c r="BK190" s="0" t="s">
        <v>253</v>
      </c>
      <c r="BL190" s="0" t="s">
        <v>201</v>
      </c>
      <c r="BN190" s="0" t="n">
        <v>13.5</v>
      </c>
      <c r="BO190" s="0" t="n">
        <v>13.88</v>
      </c>
      <c r="BP190" s="0" t="s">
        <v>187</v>
      </c>
      <c r="BQ190" s="0" t="s">
        <v>187</v>
      </c>
      <c r="BR190" s="0" t="s">
        <v>203</v>
      </c>
      <c r="BS190" s="0" t="s">
        <v>614</v>
      </c>
      <c r="BT190" s="0" t="s">
        <v>220</v>
      </c>
      <c r="BU190" s="0" t="s">
        <v>224</v>
      </c>
      <c r="BW190" s="0" t="s">
        <v>206</v>
      </c>
      <c r="BX190" s="0" t="s">
        <v>217</v>
      </c>
      <c r="BY190" s="0" t="n">
        <v>225</v>
      </c>
      <c r="BZ190" s="0" t="n">
        <v>225</v>
      </c>
      <c r="CC190" s="0" t="s">
        <v>239</v>
      </c>
      <c r="CD190" s="0" t="s">
        <v>239</v>
      </c>
      <c r="CE190" s="0" t="s">
        <v>211</v>
      </c>
      <c r="CF190" s="0" t="s">
        <v>211</v>
      </c>
      <c r="CG190" s="0" t="s">
        <v>211</v>
      </c>
      <c r="CH190" s="1" t="n">
        <v>46112</v>
      </c>
      <c r="CI190" s="0" t="n">
        <v>1.2</v>
      </c>
      <c r="CJ190" s="0" t="n">
        <v>3.32</v>
      </c>
      <c r="CK190" s="0" t="n">
        <v>3.49</v>
      </c>
      <c r="CL190" s="0" t="s">
        <v>212</v>
      </c>
      <c r="DA190" s="0" t="n">
        <v>0.71</v>
      </c>
      <c r="DC190" s="0" t="n">
        <v>0.85</v>
      </c>
      <c r="DD190" s="0" t="s">
        <v>212</v>
      </c>
      <c r="ED190" s="0" t="s">
        <v>212</v>
      </c>
      <c r="EE190" s="0" t="n">
        <v>1.05</v>
      </c>
      <c r="EI190" s="0" t="n">
        <v>1.37</v>
      </c>
      <c r="FQ190" s="0" t="n">
        <v>43783873</v>
      </c>
    </row>
    <row r="191" customFormat="false" ht="15" hidden="false" customHeight="false" outlineLevel="0" collapsed="false">
      <c r="B191" s="0" t="str">
        <f aca="false">C191&amp;"x"&amp;I191</f>
        <v>61005x100241</v>
      </c>
      <c r="C191" s="0" t="n">
        <f aca="false">IF(G191="SINGLE",H191,G191)</f>
        <v>61005</v>
      </c>
      <c r="D191" s="0" t="e">
        <f aca="false">_xlfn.XLOOKUP(I191,calculations!$t:$t,calculations!$s:$s)</f>
        <v>#VALUE!</v>
      </c>
      <c r="E191" s="0" t="str">
        <f aca="false">_xlfn.XLOOKUP(I191,Mapping!$T:$T,Mapping!$Q:$Q)</f>
        <v>LANT36</v>
      </c>
      <c r="F191" s="1" t="n">
        <v>46203</v>
      </c>
      <c r="G191" s="0" t="n">
        <v>61005</v>
      </c>
      <c r="H191" s="0" t="n">
        <v>61005</v>
      </c>
      <c r="I191" s="0" t="n">
        <v>100241</v>
      </c>
      <c r="J191" s="0" t="s">
        <v>607</v>
      </c>
      <c r="K191" s="0" t="s">
        <v>275</v>
      </c>
      <c r="L191" s="0" t="s">
        <v>275</v>
      </c>
      <c r="M191" s="0" t="s">
        <v>184</v>
      </c>
      <c r="N191" s="0" t="n">
        <v>23869000</v>
      </c>
      <c r="O191" s="0" t="n">
        <v>23869000</v>
      </c>
      <c r="P191" s="0" t="s">
        <v>185</v>
      </c>
      <c r="Q191" s="0" t="s">
        <v>227</v>
      </c>
      <c r="R191" s="0" t="s">
        <v>187</v>
      </c>
      <c r="S191" s="0" t="s">
        <v>608</v>
      </c>
      <c r="T191" s="0" t="s">
        <v>189</v>
      </c>
      <c r="U191" s="0" t="s">
        <v>307</v>
      </c>
      <c r="V191" s="0" t="s">
        <v>308</v>
      </c>
      <c r="W191" s="0" t="s">
        <v>296</v>
      </c>
      <c r="X191" s="0" t="s">
        <v>609</v>
      </c>
      <c r="Y191" s="0" t="n">
        <v>14.1</v>
      </c>
      <c r="Z191" s="0" t="s">
        <v>185</v>
      </c>
      <c r="AA191" s="0" t="n">
        <v>1</v>
      </c>
      <c r="AB191" s="0" t="s">
        <v>187</v>
      </c>
      <c r="AC191" s="0" t="n">
        <v>26398000</v>
      </c>
      <c r="AD191" s="0" t="n">
        <v>26398000</v>
      </c>
      <c r="AE191" s="0" t="n">
        <v>26398000</v>
      </c>
      <c r="AF191" s="0" t="n">
        <v>0.9042</v>
      </c>
      <c r="AG191" s="0" t="n">
        <v>23869000</v>
      </c>
      <c r="AH191" s="0" t="n">
        <v>23869000</v>
      </c>
      <c r="AI191" s="0" t="n">
        <v>2529000</v>
      </c>
      <c r="AJ191" s="0" t="n">
        <v>26398000</v>
      </c>
      <c r="AK191" s="0" t="n">
        <v>23869000</v>
      </c>
      <c r="AL191" s="0" t="n">
        <v>23869000</v>
      </c>
      <c r="AN191" s="0" t="n">
        <v>6.091</v>
      </c>
      <c r="AO191" s="0" t="n">
        <v>5.388</v>
      </c>
      <c r="AP191" s="0" t="n">
        <v>5.622</v>
      </c>
      <c r="AQ191" s="0" t="n">
        <v>100</v>
      </c>
      <c r="AR191" s="0" t="n">
        <v>100</v>
      </c>
      <c r="AS191" s="1" t="n">
        <v>43054</v>
      </c>
      <c r="AT191" s="1" t="n">
        <v>51271</v>
      </c>
      <c r="AU191" s="1" t="n">
        <v>46295</v>
      </c>
      <c r="AV191" s="0" t="s">
        <v>610</v>
      </c>
      <c r="AW191" s="0" t="s">
        <v>529</v>
      </c>
      <c r="AX191" s="0" t="s">
        <v>187</v>
      </c>
      <c r="AY191" s="0" t="s">
        <v>611</v>
      </c>
      <c r="AZ191" s="0" t="s">
        <v>612</v>
      </c>
      <c r="BA191" s="0" t="s">
        <v>308</v>
      </c>
      <c r="BB191" s="0" t="s">
        <v>529</v>
      </c>
      <c r="BC191" s="0" t="s">
        <v>613</v>
      </c>
      <c r="BI191" s="0" t="n">
        <v>26398000</v>
      </c>
      <c r="BJ191" s="0" t="n">
        <v>26398000</v>
      </c>
      <c r="BK191" s="0" t="s">
        <v>253</v>
      </c>
      <c r="BL191" s="0" t="s">
        <v>201</v>
      </c>
      <c r="BN191" s="0" t="n">
        <v>13.5</v>
      </c>
      <c r="BO191" s="0" t="n">
        <v>13.88</v>
      </c>
      <c r="BP191" s="0" t="s">
        <v>187</v>
      </c>
      <c r="BQ191" s="0" t="s">
        <v>187</v>
      </c>
      <c r="BR191" s="0" t="s">
        <v>203</v>
      </c>
      <c r="BS191" s="0" t="s">
        <v>614</v>
      </c>
      <c r="BT191" s="0" t="s">
        <v>220</v>
      </c>
      <c r="BU191" s="0" t="s">
        <v>205</v>
      </c>
      <c r="BW191" s="0" t="s">
        <v>257</v>
      </c>
      <c r="BX191" s="0" t="s">
        <v>207</v>
      </c>
      <c r="BY191" s="0" t="n">
        <v>225</v>
      </c>
      <c r="BZ191" s="0" t="n">
        <v>225</v>
      </c>
      <c r="CC191" s="0" t="s">
        <v>239</v>
      </c>
      <c r="CD191" s="0" t="s">
        <v>239</v>
      </c>
      <c r="CE191" s="0" t="s">
        <v>211</v>
      </c>
      <c r="CF191" s="0" t="s">
        <v>211</v>
      </c>
      <c r="CG191" s="0" t="s">
        <v>211</v>
      </c>
      <c r="CH191" s="1" t="n">
        <v>46112</v>
      </c>
      <c r="CI191" s="0" t="n">
        <v>1.2</v>
      </c>
      <c r="CJ191" s="0" t="n">
        <v>1.63</v>
      </c>
      <c r="CK191" s="0" t="n">
        <v>1.71</v>
      </c>
      <c r="CL191" s="0" t="s">
        <v>212</v>
      </c>
      <c r="DA191" s="0" t="n">
        <v>0.49</v>
      </c>
      <c r="DC191" s="0" t="n">
        <v>0.85</v>
      </c>
      <c r="DD191" s="0" t="s">
        <v>212</v>
      </c>
      <c r="ED191" s="0" t="s">
        <v>212</v>
      </c>
      <c r="EE191" s="0" t="n">
        <v>1.05</v>
      </c>
      <c r="EI191" s="0" t="n">
        <v>1.93</v>
      </c>
      <c r="FQ191" s="0" t="n">
        <v>52832152</v>
      </c>
    </row>
    <row r="192" customFormat="false" ht="15" hidden="false" customHeight="false" outlineLevel="0" collapsed="false">
      <c r="B192" s="0" t="str">
        <f aca="false">C192&amp;"x"&amp;I192</f>
        <v>61027x100241</v>
      </c>
      <c r="C192" s="0" t="n">
        <f aca="false">IF(G192="SINGLE",H192,G192)</f>
        <v>61027</v>
      </c>
      <c r="D192" s="0" t="e">
        <f aca="false">_xlfn.XLOOKUP(I192,calculations!$t:$t,calculations!$s:$s)</f>
        <v>#VALUE!</v>
      </c>
      <c r="E192" s="0" t="str">
        <f aca="false">_xlfn.XLOOKUP(I192,Mapping!$T:$T,Mapping!$Q:$Q)</f>
        <v>LANT36</v>
      </c>
      <c r="F192" s="1" t="n">
        <v>46203</v>
      </c>
      <c r="G192" s="0" t="n">
        <v>61027</v>
      </c>
      <c r="H192" s="0" t="n">
        <v>61027</v>
      </c>
      <c r="I192" s="0" t="n">
        <v>100241</v>
      </c>
      <c r="J192" s="0" t="s">
        <v>607</v>
      </c>
      <c r="K192" s="0" t="s">
        <v>450</v>
      </c>
      <c r="L192" s="0" t="s">
        <v>450</v>
      </c>
      <c r="M192" s="0" t="s">
        <v>184</v>
      </c>
      <c r="N192" s="0" t="n">
        <v>25411000</v>
      </c>
      <c r="O192" s="0" t="n">
        <v>25411000</v>
      </c>
      <c r="P192" s="0" t="s">
        <v>185</v>
      </c>
      <c r="Q192" s="0" t="s">
        <v>227</v>
      </c>
      <c r="R192" s="0" t="s">
        <v>187</v>
      </c>
      <c r="S192" s="0" t="s">
        <v>608</v>
      </c>
      <c r="T192" s="0" t="s">
        <v>189</v>
      </c>
      <c r="U192" s="0" t="s">
        <v>307</v>
      </c>
      <c r="V192" s="0" t="s">
        <v>308</v>
      </c>
      <c r="W192" s="0" t="s">
        <v>296</v>
      </c>
      <c r="X192" s="0" t="s">
        <v>609</v>
      </c>
      <c r="Y192" s="0" t="n">
        <v>14.1</v>
      </c>
      <c r="Z192" s="0" t="s">
        <v>185</v>
      </c>
      <c r="AA192" s="0" t="n">
        <v>1</v>
      </c>
      <c r="AB192" s="0" t="s">
        <v>187</v>
      </c>
      <c r="AC192" s="0" t="n">
        <v>28104000</v>
      </c>
      <c r="AD192" s="0" t="n">
        <v>28104000</v>
      </c>
      <c r="AE192" s="0" t="n">
        <v>28104000</v>
      </c>
      <c r="AF192" s="0" t="n">
        <v>0.9042</v>
      </c>
      <c r="AG192" s="0" t="n">
        <v>25411000</v>
      </c>
      <c r="AH192" s="0" t="n">
        <v>25411000</v>
      </c>
      <c r="AI192" s="0" t="n">
        <v>2693000</v>
      </c>
      <c r="AJ192" s="0" t="n">
        <v>28104000</v>
      </c>
      <c r="AK192" s="0" t="n">
        <v>25411000</v>
      </c>
      <c r="AL192" s="0" t="n">
        <v>25411000</v>
      </c>
      <c r="AN192" s="0" t="n">
        <v>5.481</v>
      </c>
      <c r="AO192" s="0" t="n">
        <v>5.047</v>
      </c>
      <c r="AP192" s="0" t="n">
        <v>5.528</v>
      </c>
      <c r="AQ192" s="0" t="n">
        <v>100</v>
      </c>
      <c r="AR192" s="0" t="n">
        <v>100</v>
      </c>
      <c r="AS192" s="1" t="n">
        <v>43054</v>
      </c>
      <c r="AT192" s="1" t="n">
        <v>51271</v>
      </c>
      <c r="AU192" s="1" t="n">
        <v>46295</v>
      </c>
      <c r="AV192" s="0" t="s">
        <v>610</v>
      </c>
      <c r="AW192" s="0" t="s">
        <v>529</v>
      </c>
      <c r="AX192" s="0" t="s">
        <v>187</v>
      </c>
      <c r="AY192" s="0" t="s">
        <v>611</v>
      </c>
      <c r="AZ192" s="0" t="s">
        <v>612</v>
      </c>
      <c r="BA192" s="0" t="s">
        <v>308</v>
      </c>
      <c r="BB192" s="0" t="s">
        <v>529</v>
      </c>
      <c r="BC192" s="0" t="s">
        <v>613</v>
      </c>
      <c r="BI192" s="0" t="n">
        <v>28104000</v>
      </c>
      <c r="BJ192" s="0" t="n">
        <v>28104000</v>
      </c>
      <c r="BK192" s="0" t="s">
        <v>253</v>
      </c>
      <c r="BL192" s="0" t="s">
        <v>201</v>
      </c>
      <c r="BN192" s="0" t="n">
        <v>13.5</v>
      </c>
      <c r="BO192" s="0" t="n">
        <v>13.88</v>
      </c>
      <c r="BP192" s="0" t="s">
        <v>187</v>
      </c>
      <c r="BQ192" s="0" t="s">
        <v>187</v>
      </c>
      <c r="BR192" s="0" t="s">
        <v>203</v>
      </c>
      <c r="BS192" s="0" t="s">
        <v>614</v>
      </c>
      <c r="BT192" s="0" t="s">
        <v>220</v>
      </c>
      <c r="BU192" s="0" t="s">
        <v>216</v>
      </c>
      <c r="BW192" s="0" t="s">
        <v>206</v>
      </c>
      <c r="BX192" s="0" t="s">
        <v>217</v>
      </c>
      <c r="BY192" s="0" t="n">
        <v>225</v>
      </c>
      <c r="BZ192" s="0" t="n">
        <v>225</v>
      </c>
      <c r="CC192" s="0" t="s">
        <v>239</v>
      </c>
      <c r="CD192" s="0" t="s">
        <v>239</v>
      </c>
      <c r="CE192" s="0" t="s">
        <v>211</v>
      </c>
      <c r="CF192" s="0" t="s">
        <v>211</v>
      </c>
      <c r="CG192" s="0" t="s">
        <v>211</v>
      </c>
      <c r="CH192" s="1" t="n">
        <v>46112</v>
      </c>
      <c r="CI192" s="0" t="n">
        <v>1.2</v>
      </c>
      <c r="CJ192" s="0" t="n">
        <v>1.65</v>
      </c>
      <c r="CK192" s="0" t="n">
        <v>1.73</v>
      </c>
      <c r="CL192" s="0" t="s">
        <v>212</v>
      </c>
      <c r="DA192" s="0" t="n">
        <v>0.46</v>
      </c>
      <c r="DC192" s="0" t="n">
        <v>0.85</v>
      </c>
      <c r="DD192" s="0" t="s">
        <v>212</v>
      </c>
      <c r="ED192" s="0" t="s">
        <v>212</v>
      </c>
      <c r="EE192" s="0" t="n">
        <v>1.05</v>
      </c>
      <c r="EI192" s="0" t="n">
        <v>1.58</v>
      </c>
      <c r="FQ192" s="0" t="n">
        <v>39422979</v>
      </c>
    </row>
    <row r="193" customFormat="false" ht="15" hidden="false" customHeight="false" outlineLevel="0" collapsed="false">
      <c r="B193" s="0" t="str">
        <f aca="false">C193&amp;"x"&amp;I193</f>
        <v>61011x100241</v>
      </c>
      <c r="C193" s="0" t="n">
        <f aca="false">IF(G193="SINGLE",H193,G193)</f>
        <v>61011</v>
      </c>
      <c r="D193" s="0" t="e">
        <f aca="false">_xlfn.XLOOKUP(I193,calculations!$t:$t,calculations!$s:$s)</f>
        <v>#VALUE!</v>
      </c>
      <c r="E193" s="0" t="str">
        <f aca="false">_xlfn.XLOOKUP(I193,Mapping!$T:$T,Mapping!$Q:$Q)</f>
        <v>LANT36</v>
      </c>
      <c r="F193" s="1" t="n">
        <v>46203</v>
      </c>
      <c r="G193" s="0" t="n">
        <v>61011</v>
      </c>
      <c r="H193" s="0" t="n">
        <v>61011</v>
      </c>
      <c r="I193" s="0" t="n">
        <v>100241</v>
      </c>
      <c r="J193" s="0" t="s">
        <v>607</v>
      </c>
      <c r="K193" s="0" t="s">
        <v>421</v>
      </c>
      <c r="L193" s="0" t="s">
        <v>421</v>
      </c>
      <c r="M193" s="0" t="s">
        <v>184</v>
      </c>
      <c r="N193" s="0" t="n">
        <v>52544000</v>
      </c>
      <c r="O193" s="0" t="n">
        <v>52544000</v>
      </c>
      <c r="P193" s="0" t="s">
        <v>185</v>
      </c>
      <c r="Q193" s="0" t="s">
        <v>227</v>
      </c>
      <c r="R193" s="0" t="s">
        <v>187</v>
      </c>
      <c r="S193" s="0" t="s">
        <v>608</v>
      </c>
      <c r="T193" s="0" t="s">
        <v>189</v>
      </c>
      <c r="U193" s="0" t="s">
        <v>307</v>
      </c>
      <c r="V193" s="0" t="s">
        <v>308</v>
      </c>
      <c r="W193" s="0" t="s">
        <v>296</v>
      </c>
      <c r="X193" s="0" t="s">
        <v>609</v>
      </c>
      <c r="Y193" s="0" t="n">
        <v>14.1</v>
      </c>
      <c r="Z193" s="0" t="s">
        <v>185</v>
      </c>
      <c r="AA193" s="0" t="n">
        <v>1</v>
      </c>
      <c r="AB193" s="0" t="s">
        <v>187</v>
      </c>
      <c r="AC193" s="0" t="n">
        <v>58112000</v>
      </c>
      <c r="AD193" s="0" t="n">
        <v>58112000</v>
      </c>
      <c r="AE193" s="0" t="n">
        <v>58112000</v>
      </c>
      <c r="AF193" s="0" t="n">
        <v>0.9042</v>
      </c>
      <c r="AG193" s="0" t="n">
        <v>52544000</v>
      </c>
      <c r="AH193" s="0" t="n">
        <v>52544000</v>
      </c>
      <c r="AI193" s="0" t="n">
        <v>5568000</v>
      </c>
      <c r="AJ193" s="0" t="n">
        <v>58112000</v>
      </c>
      <c r="AK193" s="0" t="n">
        <v>52544000</v>
      </c>
      <c r="AL193" s="0" t="n">
        <v>52544000</v>
      </c>
      <c r="AN193" s="0" t="n">
        <v>3.1</v>
      </c>
      <c r="AO193" s="0" t="n">
        <v>5.075</v>
      </c>
      <c r="AP193" s="0" t="n">
        <v>2.67</v>
      </c>
      <c r="AQ193" s="0" t="n">
        <v>100</v>
      </c>
      <c r="AR193" s="0" t="n">
        <v>100</v>
      </c>
      <c r="AS193" s="1" t="n">
        <v>43054</v>
      </c>
      <c r="AT193" s="1" t="n">
        <v>51271</v>
      </c>
      <c r="AU193" s="1" t="n">
        <v>46295</v>
      </c>
      <c r="AV193" s="0" t="s">
        <v>610</v>
      </c>
      <c r="AW193" s="0" t="s">
        <v>529</v>
      </c>
      <c r="AX193" s="0" t="s">
        <v>187</v>
      </c>
      <c r="AY193" s="0" t="s">
        <v>611</v>
      </c>
      <c r="AZ193" s="0" t="s">
        <v>612</v>
      </c>
      <c r="BA193" s="0" t="s">
        <v>308</v>
      </c>
      <c r="BB193" s="0" t="s">
        <v>529</v>
      </c>
      <c r="BC193" s="0" t="s">
        <v>613</v>
      </c>
      <c r="BI193" s="0" t="n">
        <v>58112000</v>
      </c>
      <c r="BJ193" s="0" t="n">
        <v>58112000</v>
      </c>
      <c r="BK193" s="0" t="s">
        <v>253</v>
      </c>
      <c r="BL193" s="0" t="s">
        <v>201</v>
      </c>
      <c r="BN193" s="0" t="n">
        <v>13.5</v>
      </c>
      <c r="BO193" s="0" t="n">
        <v>13.88</v>
      </c>
      <c r="BP193" s="0" t="s">
        <v>187</v>
      </c>
      <c r="BQ193" s="0" t="s">
        <v>187</v>
      </c>
      <c r="BR193" s="0" t="s">
        <v>203</v>
      </c>
      <c r="BS193" s="0" t="s">
        <v>614</v>
      </c>
      <c r="BT193" s="0" t="s">
        <v>220</v>
      </c>
      <c r="BU193" s="0" t="s">
        <v>216</v>
      </c>
      <c r="BW193" s="0" t="s">
        <v>206</v>
      </c>
      <c r="BX193" s="0" t="s">
        <v>217</v>
      </c>
      <c r="BY193" s="0" t="n">
        <v>225</v>
      </c>
      <c r="BZ193" s="0" t="n">
        <v>225</v>
      </c>
      <c r="CC193" s="0" t="s">
        <v>239</v>
      </c>
      <c r="CD193" s="0" t="s">
        <v>239</v>
      </c>
      <c r="CE193" s="0" t="s">
        <v>211</v>
      </c>
      <c r="CF193" s="0" t="s">
        <v>211</v>
      </c>
      <c r="CG193" s="0" t="s">
        <v>211</v>
      </c>
      <c r="CH193" s="1" t="n">
        <v>46112</v>
      </c>
      <c r="CI193" s="0" t="n">
        <v>1.2</v>
      </c>
      <c r="CJ193" s="0" t="n">
        <v>1.24</v>
      </c>
      <c r="CK193" s="0" t="n">
        <v>1.3</v>
      </c>
      <c r="CL193" s="0" t="s">
        <v>213</v>
      </c>
      <c r="DA193" s="0" t="n">
        <v>0.64</v>
      </c>
      <c r="DC193" s="0" t="n">
        <v>0.85</v>
      </c>
      <c r="DD193" s="0" t="s">
        <v>212</v>
      </c>
      <c r="ED193" s="0" t="s">
        <v>212</v>
      </c>
      <c r="EE193" s="0" t="n">
        <v>1.05</v>
      </c>
      <c r="EI193" s="0" t="n">
        <v>1.33</v>
      </c>
      <c r="FQ193" s="0" t="n">
        <v>41609447</v>
      </c>
    </row>
    <row r="194" customFormat="false" ht="15" hidden="false" customHeight="false" outlineLevel="0" collapsed="false">
      <c r="B194" s="0" t="str">
        <f aca="false">C194&amp;"x"&amp;I194</f>
        <v>61007x100242</v>
      </c>
      <c r="C194" s="0" t="n">
        <f aca="false">IF(G194="SINGLE",H194,G194)</f>
        <v>61007</v>
      </c>
      <c r="D194" s="0" t="e">
        <f aca="false">_xlfn.XLOOKUP(I194,calculations!$t:$t,calculations!$s:$s)</f>
        <v>#VALUE!</v>
      </c>
      <c r="E194" s="0" t="str">
        <f aca="false">_xlfn.XLOOKUP(I194,Mapping!$T:$T,Mapping!$Q:$Q)</f>
        <v>MIST37</v>
      </c>
      <c r="F194" s="1" t="n">
        <v>46203</v>
      </c>
      <c r="G194" s="0" t="n">
        <v>61007</v>
      </c>
      <c r="H194" s="0" t="n">
        <v>61007</v>
      </c>
      <c r="I194" s="0" t="n">
        <v>100242</v>
      </c>
      <c r="J194" s="0" t="s">
        <v>615</v>
      </c>
      <c r="K194" s="0" t="s">
        <v>218</v>
      </c>
      <c r="L194" s="0" t="s">
        <v>218</v>
      </c>
      <c r="M194" s="0" t="s">
        <v>184</v>
      </c>
      <c r="N194" s="0" t="n">
        <v>24458000</v>
      </c>
      <c r="O194" s="0" t="n">
        <v>28605847.95</v>
      </c>
      <c r="P194" s="0" t="s">
        <v>219</v>
      </c>
      <c r="Q194" s="0" t="s">
        <v>186</v>
      </c>
      <c r="R194" s="0" t="s">
        <v>202</v>
      </c>
      <c r="S194" s="0" t="s">
        <v>616</v>
      </c>
      <c r="T194" s="0" t="s">
        <v>189</v>
      </c>
      <c r="U194" s="0" t="s">
        <v>229</v>
      </c>
      <c r="V194" s="0" t="s">
        <v>230</v>
      </c>
      <c r="W194" s="0" t="s">
        <v>381</v>
      </c>
      <c r="X194" s="0" t="s">
        <v>617</v>
      </c>
      <c r="Y194" s="0" t="n">
        <v>11.7</v>
      </c>
      <c r="Z194" s="0" t="s">
        <v>219</v>
      </c>
      <c r="AA194" s="0" t="n">
        <v>0.855</v>
      </c>
      <c r="AB194" s="0" t="s">
        <v>202</v>
      </c>
      <c r="AC194" s="0" t="n">
        <v>25894000</v>
      </c>
      <c r="AD194" s="0" t="n">
        <v>25894000</v>
      </c>
      <c r="AE194" s="0" t="n">
        <v>30285380.12</v>
      </c>
      <c r="AF194" s="0" t="n">
        <v>0.9445</v>
      </c>
      <c r="AG194" s="0" t="n">
        <v>24458000</v>
      </c>
      <c r="AH194" s="0" t="n">
        <v>24458000</v>
      </c>
      <c r="AI194" s="0" t="n">
        <v>1436000</v>
      </c>
      <c r="AJ194" s="0" t="n">
        <v>25894000</v>
      </c>
      <c r="AK194" s="0" t="n">
        <v>24458000</v>
      </c>
      <c r="AL194" s="0" t="n">
        <v>24458000</v>
      </c>
      <c r="AN194" s="0" t="n">
        <v>2.823</v>
      </c>
      <c r="AO194" s="0" t="n">
        <v>5.615</v>
      </c>
      <c r="AP194" s="0" t="n">
        <v>3.797</v>
      </c>
      <c r="AQ194" s="0" t="n">
        <v>100</v>
      </c>
      <c r="AR194" s="0" t="n">
        <v>100</v>
      </c>
      <c r="AS194" s="1" t="n">
        <v>42419</v>
      </c>
      <c r="AT194" s="1" t="n">
        <v>48994</v>
      </c>
      <c r="AU194" s="1" t="n">
        <v>46295</v>
      </c>
      <c r="AV194" s="0" t="s">
        <v>618</v>
      </c>
      <c r="AW194" s="0" t="s">
        <v>529</v>
      </c>
      <c r="AX194" s="0" t="s">
        <v>187</v>
      </c>
      <c r="AY194" s="0" t="s">
        <v>619</v>
      </c>
      <c r="AZ194" s="0" t="s">
        <v>620</v>
      </c>
      <c r="BA194" s="0" t="s">
        <v>230</v>
      </c>
      <c r="BB194" s="0" t="s">
        <v>529</v>
      </c>
      <c r="BC194" s="0" t="s">
        <v>621</v>
      </c>
      <c r="BI194" s="0" t="n">
        <v>25894000</v>
      </c>
      <c r="BJ194" s="0" t="n">
        <v>30285380.12</v>
      </c>
      <c r="BK194" s="0" t="s">
        <v>253</v>
      </c>
      <c r="BL194" s="0" t="s">
        <v>201</v>
      </c>
      <c r="BN194" s="0" t="n">
        <v>10.8</v>
      </c>
      <c r="BO194" s="0" t="n">
        <v>7.64</v>
      </c>
      <c r="BP194" s="0" t="s">
        <v>187</v>
      </c>
      <c r="BQ194" s="0" t="s">
        <v>202</v>
      </c>
      <c r="BR194" s="0" t="s">
        <v>203</v>
      </c>
      <c r="BS194" s="0" t="s">
        <v>622</v>
      </c>
      <c r="BT194" s="0" t="s">
        <v>255</v>
      </c>
      <c r="BU194" s="0" t="s">
        <v>224</v>
      </c>
      <c r="BW194" s="0" t="s">
        <v>257</v>
      </c>
      <c r="BX194" s="0" t="s">
        <v>207</v>
      </c>
      <c r="BY194" s="0" t="n">
        <v>270</v>
      </c>
      <c r="BZ194" s="0" t="n">
        <v>270</v>
      </c>
      <c r="CC194" s="0" t="s">
        <v>289</v>
      </c>
      <c r="CD194" s="0" t="s">
        <v>289</v>
      </c>
      <c r="CE194" s="0" t="s">
        <v>211</v>
      </c>
      <c r="CF194" s="0" t="s">
        <v>211</v>
      </c>
      <c r="CG194" s="0" t="s">
        <v>211</v>
      </c>
      <c r="CH194" s="1" t="n">
        <v>46112</v>
      </c>
      <c r="CI194" s="0" t="n">
        <v>1.2</v>
      </c>
      <c r="CJ194" s="0" t="n">
        <v>3.48</v>
      </c>
      <c r="CK194" s="0" t="n">
        <v>3.65</v>
      </c>
      <c r="CL194" s="0" t="s">
        <v>212</v>
      </c>
      <c r="DA194" s="0" t="n">
        <v>0.47</v>
      </c>
      <c r="DC194" s="0" t="n">
        <v>0.85</v>
      </c>
      <c r="DD194" s="0" t="s">
        <v>212</v>
      </c>
      <c r="ED194" s="0" t="s">
        <v>212</v>
      </c>
      <c r="EE194" s="0" t="n">
        <v>1.05</v>
      </c>
      <c r="EI194" s="0" t="n">
        <v>1.29</v>
      </c>
      <c r="FQ194" s="0" t="n">
        <v>84018934</v>
      </c>
    </row>
    <row r="195" customFormat="false" ht="15" hidden="false" customHeight="false" outlineLevel="0" collapsed="false">
      <c r="B195" s="0" t="str">
        <f aca="false">C195&amp;"x"&amp;I195</f>
        <v>61005x100242</v>
      </c>
      <c r="C195" s="0" t="n">
        <f aca="false">IF(G195="SINGLE",H195,G195)</f>
        <v>61005</v>
      </c>
      <c r="D195" s="0" t="e">
        <f aca="false">_xlfn.XLOOKUP(I195,calculations!$t:$t,calculations!$s:$s)</f>
        <v>#VALUE!</v>
      </c>
      <c r="E195" s="0" t="str">
        <f aca="false">_xlfn.XLOOKUP(I195,Mapping!$T:$T,Mapping!$Q:$Q)</f>
        <v>MIST37</v>
      </c>
      <c r="F195" s="1" t="n">
        <v>46203</v>
      </c>
      <c r="G195" s="0" t="n">
        <v>61005</v>
      </c>
      <c r="H195" s="0" t="n">
        <v>61005</v>
      </c>
      <c r="I195" s="0" t="n">
        <v>100242</v>
      </c>
      <c r="J195" s="0" t="s">
        <v>615</v>
      </c>
      <c r="K195" s="0" t="s">
        <v>275</v>
      </c>
      <c r="L195" s="0" t="s">
        <v>275</v>
      </c>
      <c r="M195" s="0" t="s">
        <v>184</v>
      </c>
      <c r="N195" s="0" t="n">
        <v>42189000</v>
      </c>
      <c r="O195" s="0" t="n">
        <v>49343859.65</v>
      </c>
      <c r="P195" s="0" t="s">
        <v>185</v>
      </c>
      <c r="Q195" s="0" t="s">
        <v>186</v>
      </c>
      <c r="R195" s="0" t="s">
        <v>202</v>
      </c>
      <c r="S195" s="0" t="s">
        <v>616</v>
      </c>
      <c r="T195" s="0" t="s">
        <v>189</v>
      </c>
      <c r="U195" s="0" t="s">
        <v>229</v>
      </c>
      <c r="V195" s="0" t="s">
        <v>230</v>
      </c>
      <c r="W195" s="0" t="s">
        <v>381</v>
      </c>
      <c r="X195" s="0" t="s">
        <v>617</v>
      </c>
      <c r="Y195" s="0" t="n">
        <v>11.7</v>
      </c>
      <c r="Z195" s="0" t="s">
        <v>219</v>
      </c>
      <c r="AA195" s="0" t="n">
        <v>0.855</v>
      </c>
      <c r="AB195" s="0" t="s">
        <v>202</v>
      </c>
      <c r="AC195" s="0" t="n">
        <v>44666000</v>
      </c>
      <c r="AD195" s="0" t="n">
        <v>44666000</v>
      </c>
      <c r="AE195" s="0" t="n">
        <v>52240935.67</v>
      </c>
      <c r="AF195" s="0" t="n">
        <v>0.9445</v>
      </c>
      <c r="AG195" s="0" t="n">
        <v>42189000</v>
      </c>
      <c r="AH195" s="0" t="n">
        <v>42189000</v>
      </c>
      <c r="AI195" s="0" t="n">
        <v>2477000</v>
      </c>
      <c r="AJ195" s="0" t="n">
        <v>44666000</v>
      </c>
      <c r="AK195" s="0" t="n">
        <v>42189000</v>
      </c>
      <c r="AL195" s="0" t="n">
        <v>42189000</v>
      </c>
      <c r="AN195" s="0" t="n">
        <v>3.932</v>
      </c>
      <c r="AO195" s="0" t="n">
        <v>2.942</v>
      </c>
      <c r="AP195" s="0" t="n">
        <v>4.593</v>
      </c>
      <c r="AQ195" s="0" t="n">
        <v>100</v>
      </c>
      <c r="AR195" s="0" t="n">
        <v>100</v>
      </c>
      <c r="AS195" s="1" t="n">
        <v>42419</v>
      </c>
      <c r="AT195" s="1" t="n">
        <v>48994</v>
      </c>
      <c r="AU195" s="1" t="n">
        <v>46295</v>
      </c>
      <c r="AV195" s="0" t="s">
        <v>618</v>
      </c>
      <c r="AW195" s="0" t="s">
        <v>529</v>
      </c>
      <c r="AX195" s="0" t="s">
        <v>187</v>
      </c>
      <c r="AY195" s="0" t="s">
        <v>619</v>
      </c>
      <c r="AZ195" s="0" t="s">
        <v>620</v>
      </c>
      <c r="BA195" s="0" t="s">
        <v>230</v>
      </c>
      <c r="BB195" s="0" t="s">
        <v>529</v>
      </c>
      <c r="BC195" s="0" t="s">
        <v>621</v>
      </c>
      <c r="BI195" s="0" t="n">
        <v>44666000</v>
      </c>
      <c r="BJ195" s="0" t="n">
        <v>52240935.67</v>
      </c>
      <c r="BK195" s="0" t="s">
        <v>253</v>
      </c>
      <c r="BL195" s="0" t="s">
        <v>201</v>
      </c>
      <c r="BN195" s="0" t="n">
        <v>10.8</v>
      </c>
      <c r="BO195" s="0" t="n">
        <v>7.64</v>
      </c>
      <c r="BP195" s="0" t="s">
        <v>187</v>
      </c>
      <c r="BQ195" s="0" t="s">
        <v>202</v>
      </c>
      <c r="BR195" s="0" t="s">
        <v>203</v>
      </c>
      <c r="BS195" s="0" t="s">
        <v>622</v>
      </c>
      <c r="BT195" s="0" t="s">
        <v>255</v>
      </c>
      <c r="BU195" s="0" t="s">
        <v>205</v>
      </c>
      <c r="BW195" s="0" t="s">
        <v>206</v>
      </c>
      <c r="BX195" s="0" t="s">
        <v>207</v>
      </c>
      <c r="BY195" s="0" t="n">
        <v>270</v>
      </c>
      <c r="BZ195" s="0" t="n">
        <v>270</v>
      </c>
      <c r="CC195" s="0" t="s">
        <v>289</v>
      </c>
      <c r="CD195" s="0" t="s">
        <v>289</v>
      </c>
      <c r="CE195" s="0" t="s">
        <v>211</v>
      </c>
      <c r="CF195" s="0" t="s">
        <v>211</v>
      </c>
      <c r="CG195" s="0" t="s">
        <v>211</v>
      </c>
      <c r="CH195" s="1" t="n">
        <v>46112</v>
      </c>
      <c r="CI195" s="0" t="n">
        <v>1.2</v>
      </c>
      <c r="CJ195" s="0" t="n">
        <v>2.36</v>
      </c>
      <c r="CK195" s="0" t="n">
        <v>2.48</v>
      </c>
      <c r="CL195" s="0" t="s">
        <v>212</v>
      </c>
      <c r="DA195" s="0" t="n">
        <v>0.63</v>
      </c>
      <c r="DC195" s="0" t="n">
        <v>0.85</v>
      </c>
      <c r="DD195" s="0" t="s">
        <v>212</v>
      </c>
      <c r="ED195" s="0" t="s">
        <v>213</v>
      </c>
      <c r="EE195" s="0" t="n">
        <v>1.05</v>
      </c>
      <c r="EI195" s="0" t="n">
        <v>1.2</v>
      </c>
      <c r="FQ195" s="0" t="n">
        <v>85566662</v>
      </c>
    </row>
    <row r="196" customFormat="false" ht="15" hidden="false" customHeight="false" outlineLevel="0" collapsed="false">
      <c r="B196" s="0" t="str">
        <f aca="false">C196&amp;"x"&amp;I196</f>
        <v>61001x100242</v>
      </c>
      <c r="C196" s="0" t="n">
        <f aca="false">IF(G196="SINGLE",H196,G196)</f>
        <v>61001</v>
      </c>
      <c r="D196" s="0" t="e">
        <f aca="false">_xlfn.XLOOKUP(I196,calculations!$t:$t,calculations!$s:$s)</f>
        <v>#VALUE!</v>
      </c>
      <c r="E196" s="0" t="str">
        <f aca="false">_xlfn.XLOOKUP(I196,Mapping!$T:$T,Mapping!$Q:$Q)</f>
        <v>MIST37</v>
      </c>
      <c r="F196" s="1" t="n">
        <v>46203</v>
      </c>
      <c r="G196" s="0" t="n">
        <v>61001</v>
      </c>
      <c r="H196" s="0" t="n">
        <v>61001</v>
      </c>
      <c r="I196" s="0" t="n">
        <v>100242</v>
      </c>
      <c r="J196" s="0" t="s">
        <v>615</v>
      </c>
      <c r="K196" s="0" t="s">
        <v>345</v>
      </c>
      <c r="L196" s="0" t="s">
        <v>345</v>
      </c>
      <c r="M196" s="0" t="s">
        <v>184</v>
      </c>
      <c r="N196" s="0" t="n">
        <v>13734000</v>
      </c>
      <c r="O196" s="0" t="n">
        <v>16063157.89</v>
      </c>
      <c r="P196" s="0" t="s">
        <v>185</v>
      </c>
      <c r="Q196" s="0" t="s">
        <v>186</v>
      </c>
      <c r="R196" s="0" t="s">
        <v>202</v>
      </c>
      <c r="S196" s="0" t="s">
        <v>616</v>
      </c>
      <c r="T196" s="0" t="s">
        <v>189</v>
      </c>
      <c r="U196" s="0" t="s">
        <v>229</v>
      </c>
      <c r="V196" s="0" t="s">
        <v>230</v>
      </c>
      <c r="W196" s="0" t="s">
        <v>381</v>
      </c>
      <c r="X196" s="0" t="s">
        <v>617</v>
      </c>
      <c r="Y196" s="0" t="n">
        <v>11.7</v>
      </c>
      <c r="Z196" s="0" t="s">
        <v>219</v>
      </c>
      <c r="AA196" s="0" t="n">
        <v>0.855</v>
      </c>
      <c r="AB196" s="0" t="s">
        <v>202</v>
      </c>
      <c r="AC196" s="0" t="n">
        <v>14540000</v>
      </c>
      <c r="AD196" s="0" t="n">
        <v>14540000</v>
      </c>
      <c r="AE196" s="0" t="n">
        <v>17005847.95</v>
      </c>
      <c r="AF196" s="0" t="n">
        <v>0.9446</v>
      </c>
      <c r="AG196" s="0" t="n">
        <v>13734000</v>
      </c>
      <c r="AH196" s="0" t="n">
        <v>13734000</v>
      </c>
      <c r="AI196" s="0" t="n">
        <v>806000</v>
      </c>
      <c r="AJ196" s="0" t="n">
        <v>14540000</v>
      </c>
      <c r="AK196" s="0" t="n">
        <v>13734000</v>
      </c>
      <c r="AL196" s="0" t="n">
        <v>13734000</v>
      </c>
      <c r="AN196" s="0" t="n">
        <v>4.888</v>
      </c>
      <c r="AO196" s="0" t="n">
        <v>5.81</v>
      </c>
      <c r="AP196" s="0" t="n">
        <v>3.775</v>
      </c>
      <c r="AQ196" s="0" t="n">
        <v>100</v>
      </c>
      <c r="AR196" s="0" t="n">
        <v>100</v>
      </c>
      <c r="AS196" s="1" t="n">
        <v>42419</v>
      </c>
      <c r="AT196" s="1" t="n">
        <v>48994</v>
      </c>
      <c r="AU196" s="1" t="n">
        <v>46295</v>
      </c>
      <c r="AV196" s="0" t="s">
        <v>618</v>
      </c>
      <c r="AW196" s="0" t="s">
        <v>529</v>
      </c>
      <c r="AX196" s="0" t="s">
        <v>187</v>
      </c>
      <c r="AY196" s="0" t="s">
        <v>619</v>
      </c>
      <c r="AZ196" s="0" t="s">
        <v>620</v>
      </c>
      <c r="BA196" s="0" t="s">
        <v>230</v>
      </c>
      <c r="BB196" s="0" t="s">
        <v>529</v>
      </c>
      <c r="BC196" s="0" t="s">
        <v>621</v>
      </c>
      <c r="BI196" s="0" t="n">
        <v>14540000</v>
      </c>
      <c r="BJ196" s="0" t="n">
        <v>17005847.95</v>
      </c>
      <c r="BK196" s="0" t="s">
        <v>253</v>
      </c>
      <c r="BL196" s="0" t="s">
        <v>201</v>
      </c>
      <c r="BN196" s="0" t="n">
        <v>10.8</v>
      </c>
      <c r="BO196" s="0" t="n">
        <v>7.64</v>
      </c>
      <c r="BP196" s="0" t="s">
        <v>187</v>
      </c>
      <c r="BQ196" s="0" t="s">
        <v>202</v>
      </c>
      <c r="BR196" s="0" t="s">
        <v>203</v>
      </c>
      <c r="BS196" s="0" t="s">
        <v>622</v>
      </c>
      <c r="BT196" s="0" t="s">
        <v>255</v>
      </c>
      <c r="BU196" s="0" t="s">
        <v>205</v>
      </c>
      <c r="BW196" s="0" t="s">
        <v>206</v>
      </c>
      <c r="BX196" s="0" t="s">
        <v>207</v>
      </c>
      <c r="BY196" s="0" t="n">
        <v>270</v>
      </c>
      <c r="BZ196" s="0" t="n">
        <v>270</v>
      </c>
      <c r="CC196" s="0" t="s">
        <v>289</v>
      </c>
      <c r="CD196" s="0" t="s">
        <v>289</v>
      </c>
      <c r="CE196" s="0" t="s">
        <v>211</v>
      </c>
      <c r="CF196" s="0" t="s">
        <v>211</v>
      </c>
      <c r="CG196" s="0" t="s">
        <v>211</v>
      </c>
      <c r="CH196" s="1" t="n">
        <v>46112</v>
      </c>
      <c r="CI196" s="0" t="n">
        <v>1.2</v>
      </c>
      <c r="CJ196" s="0" t="n">
        <v>2.45</v>
      </c>
      <c r="CK196" s="0" t="n">
        <v>2.57</v>
      </c>
      <c r="CL196" s="0" t="s">
        <v>212</v>
      </c>
      <c r="DA196" s="0" t="n">
        <v>0.66</v>
      </c>
      <c r="DC196" s="0" t="n">
        <v>0.85</v>
      </c>
      <c r="DD196" s="0" t="s">
        <v>212</v>
      </c>
      <c r="ED196" s="0" t="s">
        <v>212</v>
      </c>
      <c r="EE196" s="0" t="n">
        <v>1.05</v>
      </c>
      <c r="EI196" s="0" t="n">
        <v>1.61</v>
      </c>
      <c r="FQ196" s="0" t="n">
        <v>86991004</v>
      </c>
    </row>
    <row r="197" customFormat="false" ht="15" hidden="false" customHeight="false" outlineLevel="0" collapsed="false">
      <c r="B197" s="0" t="str">
        <f aca="false">C197&amp;"x"&amp;I197</f>
        <v>61006x100242</v>
      </c>
      <c r="C197" s="0" t="n">
        <f aca="false">IF(G197="SINGLE",H197,G197)</f>
        <v>61006</v>
      </c>
      <c r="D197" s="0" t="e">
        <f aca="false">_xlfn.XLOOKUP(I197,calculations!$t:$t,calculations!$s:$s)</f>
        <v>#VALUE!</v>
      </c>
      <c r="E197" s="0" t="str">
        <f aca="false">_xlfn.XLOOKUP(I197,Mapping!$T:$T,Mapping!$Q:$Q)</f>
        <v>MIST37</v>
      </c>
      <c r="F197" s="1" t="n">
        <v>46203</v>
      </c>
      <c r="G197" s="0" t="n">
        <v>61006</v>
      </c>
      <c r="H197" s="0" t="n">
        <v>61006</v>
      </c>
      <c r="I197" s="0" t="n">
        <v>100242</v>
      </c>
      <c r="J197" s="0" t="s">
        <v>615</v>
      </c>
      <c r="K197" s="0" t="s">
        <v>480</v>
      </c>
      <c r="L197" s="0" t="s">
        <v>480</v>
      </c>
      <c r="M197" s="0" t="s">
        <v>184</v>
      </c>
      <c r="N197" s="0" t="n">
        <v>27184000</v>
      </c>
      <c r="O197" s="0" t="n">
        <v>31794152.05</v>
      </c>
      <c r="P197" s="0" t="s">
        <v>415</v>
      </c>
      <c r="Q197" s="0" t="s">
        <v>186</v>
      </c>
      <c r="R197" s="0" t="s">
        <v>202</v>
      </c>
      <c r="S197" s="0" t="s">
        <v>616</v>
      </c>
      <c r="T197" s="0" t="s">
        <v>189</v>
      </c>
      <c r="U197" s="0" t="s">
        <v>229</v>
      </c>
      <c r="V197" s="0" t="s">
        <v>230</v>
      </c>
      <c r="W197" s="0" t="s">
        <v>381</v>
      </c>
      <c r="X197" s="0" t="s">
        <v>617</v>
      </c>
      <c r="Y197" s="0" t="n">
        <v>11.7</v>
      </c>
      <c r="Z197" s="0" t="s">
        <v>219</v>
      </c>
      <c r="AA197" s="0" t="n">
        <v>0.855</v>
      </c>
      <c r="AB197" s="0" t="s">
        <v>202</v>
      </c>
      <c r="AC197" s="0" t="n">
        <v>28780000</v>
      </c>
      <c r="AD197" s="0" t="n">
        <v>28780000</v>
      </c>
      <c r="AE197" s="0" t="n">
        <v>33660818.71</v>
      </c>
      <c r="AF197" s="0" t="n">
        <v>0.9445</v>
      </c>
      <c r="AG197" s="0" t="n">
        <v>27184000</v>
      </c>
      <c r="AH197" s="0" t="n">
        <v>27184000</v>
      </c>
      <c r="AI197" s="0" t="n">
        <v>1596000</v>
      </c>
      <c r="AJ197" s="0" t="n">
        <v>28780000</v>
      </c>
      <c r="AK197" s="0" t="n">
        <v>27184000</v>
      </c>
      <c r="AL197" s="0" t="n">
        <v>27184000</v>
      </c>
      <c r="AN197" s="0" t="n">
        <v>5.745</v>
      </c>
      <c r="AO197" s="0" t="n">
        <v>6.469</v>
      </c>
      <c r="AP197" s="0" t="n">
        <v>5.116</v>
      </c>
      <c r="AQ197" s="0" t="n">
        <v>100</v>
      </c>
      <c r="AR197" s="0" t="n">
        <v>100</v>
      </c>
      <c r="AS197" s="1" t="n">
        <v>42419</v>
      </c>
      <c r="AT197" s="1" t="n">
        <v>48994</v>
      </c>
      <c r="AU197" s="1" t="n">
        <v>46295</v>
      </c>
      <c r="AV197" s="0" t="s">
        <v>618</v>
      </c>
      <c r="AW197" s="0" t="s">
        <v>529</v>
      </c>
      <c r="AX197" s="0" t="s">
        <v>187</v>
      </c>
      <c r="AY197" s="0" t="s">
        <v>619</v>
      </c>
      <c r="AZ197" s="0" t="s">
        <v>620</v>
      </c>
      <c r="BA197" s="0" t="s">
        <v>230</v>
      </c>
      <c r="BB197" s="0" t="s">
        <v>529</v>
      </c>
      <c r="BC197" s="0" t="s">
        <v>621</v>
      </c>
      <c r="BI197" s="0" t="n">
        <v>28780000</v>
      </c>
      <c r="BJ197" s="0" t="n">
        <v>33660818.71</v>
      </c>
      <c r="BK197" s="0" t="s">
        <v>253</v>
      </c>
      <c r="BL197" s="0" t="s">
        <v>201</v>
      </c>
      <c r="BN197" s="0" t="n">
        <v>10.8</v>
      </c>
      <c r="BO197" s="0" t="n">
        <v>7.64</v>
      </c>
      <c r="BP197" s="0" t="s">
        <v>187</v>
      </c>
      <c r="BQ197" s="0" t="s">
        <v>202</v>
      </c>
      <c r="BR197" s="0" t="s">
        <v>203</v>
      </c>
      <c r="BS197" s="0" t="s">
        <v>622</v>
      </c>
      <c r="BT197" s="0" t="s">
        <v>255</v>
      </c>
      <c r="BU197" s="0" t="s">
        <v>216</v>
      </c>
      <c r="BW197" s="0" t="s">
        <v>206</v>
      </c>
      <c r="BX197" s="0" t="s">
        <v>217</v>
      </c>
      <c r="BY197" s="0" t="n">
        <v>270</v>
      </c>
      <c r="BZ197" s="0" t="n">
        <v>270</v>
      </c>
      <c r="CC197" s="0" t="s">
        <v>289</v>
      </c>
      <c r="CD197" s="0" t="s">
        <v>289</v>
      </c>
      <c r="CE197" s="0" t="s">
        <v>211</v>
      </c>
      <c r="CF197" s="0" t="s">
        <v>211</v>
      </c>
      <c r="CG197" s="0" t="s">
        <v>211</v>
      </c>
      <c r="CH197" s="1" t="n">
        <v>46112</v>
      </c>
      <c r="CI197" s="0" t="n">
        <v>1.2</v>
      </c>
      <c r="CJ197" s="0" t="n">
        <v>1.98</v>
      </c>
      <c r="CK197" s="0" t="n">
        <v>2.08</v>
      </c>
      <c r="CL197" s="0" t="s">
        <v>212</v>
      </c>
      <c r="DA197" s="0" t="n">
        <v>0.74</v>
      </c>
      <c r="DC197" s="0" t="n">
        <v>0.85</v>
      </c>
      <c r="DD197" s="0" t="s">
        <v>212</v>
      </c>
      <c r="ED197" s="0" t="s">
        <v>212</v>
      </c>
      <c r="EE197" s="0" t="n">
        <v>1.05</v>
      </c>
      <c r="EI197" s="0" t="n">
        <v>1.39</v>
      </c>
      <c r="FQ197" s="0" t="n">
        <v>80423511</v>
      </c>
    </row>
    <row r="198" customFormat="false" ht="15" hidden="false" customHeight="false" outlineLevel="0" collapsed="false">
      <c r="B198" s="0" t="str">
        <f aca="false">C198&amp;"x"&amp;I198</f>
        <v>61026x100242</v>
      </c>
      <c r="C198" s="0" t="n">
        <f aca="false">IF(G198="SINGLE",H198,G198)</f>
        <v>61026</v>
      </c>
      <c r="D198" s="0" t="e">
        <f aca="false">_xlfn.XLOOKUP(I198,calculations!$t:$t,calculations!$s:$s)</f>
        <v>#VALUE!</v>
      </c>
      <c r="E198" s="0" t="str">
        <f aca="false">_xlfn.XLOOKUP(I198,Mapping!$T:$T,Mapping!$Q:$Q)</f>
        <v>MIST37</v>
      </c>
      <c r="F198" s="1" t="n">
        <v>46203</v>
      </c>
      <c r="G198" s="0" t="n">
        <v>61026</v>
      </c>
      <c r="H198" s="0" t="n">
        <v>61026</v>
      </c>
      <c r="I198" s="0" t="n">
        <v>100242</v>
      </c>
      <c r="J198" s="0" t="s">
        <v>615</v>
      </c>
      <c r="K198" s="0" t="s">
        <v>398</v>
      </c>
      <c r="L198" s="0" t="s">
        <v>398</v>
      </c>
      <c r="M198" s="0" t="s">
        <v>184</v>
      </c>
      <c r="N198" s="0" t="n">
        <v>34732000</v>
      </c>
      <c r="O198" s="0" t="n">
        <v>40622222.22</v>
      </c>
      <c r="P198" s="0" t="s">
        <v>185</v>
      </c>
      <c r="Q198" s="0" t="s">
        <v>186</v>
      </c>
      <c r="R198" s="0" t="s">
        <v>202</v>
      </c>
      <c r="S198" s="0" t="s">
        <v>616</v>
      </c>
      <c r="T198" s="0" t="s">
        <v>189</v>
      </c>
      <c r="U198" s="0" t="s">
        <v>229</v>
      </c>
      <c r="V198" s="0" t="s">
        <v>230</v>
      </c>
      <c r="W198" s="0" t="s">
        <v>381</v>
      </c>
      <c r="X198" s="0" t="s">
        <v>617</v>
      </c>
      <c r="Y198" s="0" t="n">
        <v>11.7</v>
      </c>
      <c r="Z198" s="0" t="s">
        <v>219</v>
      </c>
      <c r="AA198" s="0" t="n">
        <v>0.855</v>
      </c>
      <c r="AB198" s="0" t="s">
        <v>202</v>
      </c>
      <c r="AC198" s="0" t="n">
        <v>36771000</v>
      </c>
      <c r="AD198" s="0" t="n">
        <v>36771000</v>
      </c>
      <c r="AE198" s="0" t="n">
        <v>43007017.54</v>
      </c>
      <c r="AF198" s="0" t="n">
        <v>0.9445</v>
      </c>
      <c r="AG198" s="0" t="n">
        <v>34732000</v>
      </c>
      <c r="AH198" s="0" t="n">
        <v>34732000</v>
      </c>
      <c r="AI198" s="0" t="n">
        <v>2039000</v>
      </c>
      <c r="AJ198" s="0" t="n">
        <v>36771000</v>
      </c>
      <c r="AK198" s="0" t="n">
        <v>34732000</v>
      </c>
      <c r="AL198" s="0" t="n">
        <v>34732000</v>
      </c>
      <c r="AN198" s="0" t="n">
        <v>3.451</v>
      </c>
      <c r="AO198" s="0" t="n">
        <v>5.611</v>
      </c>
      <c r="AP198" s="0" t="n">
        <v>5.039</v>
      </c>
      <c r="AQ198" s="0" t="n">
        <v>100</v>
      </c>
      <c r="AR198" s="0" t="n">
        <v>100</v>
      </c>
      <c r="AS198" s="1" t="n">
        <v>42419</v>
      </c>
      <c r="AT198" s="1" t="n">
        <v>48994</v>
      </c>
      <c r="AU198" s="1" t="n">
        <v>46295</v>
      </c>
      <c r="AV198" s="0" t="s">
        <v>618</v>
      </c>
      <c r="AW198" s="0" t="s">
        <v>529</v>
      </c>
      <c r="AX198" s="0" t="s">
        <v>187</v>
      </c>
      <c r="AY198" s="0" t="s">
        <v>619</v>
      </c>
      <c r="AZ198" s="0" t="s">
        <v>620</v>
      </c>
      <c r="BA198" s="0" t="s">
        <v>230</v>
      </c>
      <c r="BB198" s="0" t="s">
        <v>529</v>
      </c>
      <c r="BC198" s="0" t="s">
        <v>621</v>
      </c>
      <c r="BI198" s="0" t="n">
        <v>36771000</v>
      </c>
      <c r="BJ198" s="0" t="n">
        <v>43007017.54</v>
      </c>
      <c r="BK198" s="0" t="s">
        <v>253</v>
      </c>
      <c r="BL198" s="0" t="s">
        <v>201</v>
      </c>
      <c r="BN198" s="0" t="n">
        <v>10.8</v>
      </c>
      <c r="BO198" s="0" t="n">
        <v>7.64</v>
      </c>
      <c r="BP198" s="0" t="s">
        <v>187</v>
      </c>
      <c r="BQ198" s="0" t="s">
        <v>202</v>
      </c>
      <c r="BR198" s="0" t="s">
        <v>203</v>
      </c>
      <c r="BS198" s="0" t="s">
        <v>622</v>
      </c>
      <c r="BT198" s="0" t="s">
        <v>255</v>
      </c>
      <c r="BU198" s="0" t="s">
        <v>216</v>
      </c>
      <c r="BW198" s="0" t="s">
        <v>206</v>
      </c>
      <c r="BX198" s="0" t="s">
        <v>207</v>
      </c>
      <c r="BY198" s="0" t="n">
        <v>270</v>
      </c>
      <c r="BZ198" s="0" t="n">
        <v>270</v>
      </c>
      <c r="CC198" s="0" t="s">
        <v>289</v>
      </c>
      <c r="CD198" s="0" t="s">
        <v>289</v>
      </c>
      <c r="CE198" s="0" t="s">
        <v>211</v>
      </c>
      <c r="CF198" s="0" t="s">
        <v>211</v>
      </c>
      <c r="CG198" s="0" t="s">
        <v>211</v>
      </c>
      <c r="CH198" s="1" t="n">
        <v>46112</v>
      </c>
      <c r="CI198" s="0" t="n">
        <v>1.2</v>
      </c>
      <c r="CJ198" s="0" t="n">
        <v>2.56</v>
      </c>
      <c r="CK198" s="0" t="n">
        <v>2.69</v>
      </c>
      <c r="CL198" s="0" t="s">
        <v>212</v>
      </c>
      <c r="DA198" s="0" t="n">
        <v>0.8</v>
      </c>
      <c r="DC198" s="0" t="n">
        <v>0.85</v>
      </c>
      <c r="DD198" s="0" t="s">
        <v>213</v>
      </c>
      <c r="ED198" s="0" t="s">
        <v>212</v>
      </c>
      <c r="EE198" s="0" t="n">
        <v>1.05</v>
      </c>
      <c r="EI198" s="0" t="n">
        <v>1.31</v>
      </c>
      <c r="FQ198" s="0" t="n">
        <v>113057338</v>
      </c>
    </row>
    <row r="199" customFormat="false" ht="15" hidden="false" customHeight="false" outlineLevel="0" collapsed="false">
      <c r="B199" s="0" t="str">
        <f aca="false">C199&amp;"x"&amp;I199</f>
        <v>61017x100242</v>
      </c>
      <c r="C199" s="0" t="n">
        <f aca="false">IF(G199="SINGLE",H199,G199)</f>
        <v>61017</v>
      </c>
      <c r="D199" s="0" t="e">
        <f aca="false">_xlfn.XLOOKUP(I199,calculations!$t:$t,calculations!$s:$s)</f>
        <v>#VALUE!</v>
      </c>
      <c r="E199" s="0" t="str">
        <f aca="false">_xlfn.XLOOKUP(I199,Mapping!$T:$T,Mapping!$Q:$Q)</f>
        <v>MIST37</v>
      </c>
      <c r="F199" s="1" t="n">
        <v>46203</v>
      </c>
      <c r="G199" s="0" t="n">
        <v>61017</v>
      </c>
      <c r="H199" s="0" t="n">
        <v>61017</v>
      </c>
      <c r="I199" s="0" t="n">
        <v>100242</v>
      </c>
      <c r="J199" s="0" t="s">
        <v>615</v>
      </c>
      <c r="K199" s="0" t="s">
        <v>274</v>
      </c>
      <c r="L199" s="0" t="s">
        <v>274</v>
      </c>
      <c r="M199" s="0" t="s">
        <v>184</v>
      </c>
      <c r="N199" s="0" t="n">
        <v>18065000</v>
      </c>
      <c r="O199" s="0" t="n">
        <v>21128654.97</v>
      </c>
      <c r="P199" s="0" t="s">
        <v>185</v>
      </c>
      <c r="Q199" s="0" t="s">
        <v>186</v>
      </c>
      <c r="R199" s="0" t="s">
        <v>202</v>
      </c>
      <c r="S199" s="0" t="s">
        <v>616</v>
      </c>
      <c r="T199" s="0" t="s">
        <v>189</v>
      </c>
      <c r="U199" s="0" t="s">
        <v>229</v>
      </c>
      <c r="V199" s="0" t="s">
        <v>230</v>
      </c>
      <c r="W199" s="0" t="s">
        <v>381</v>
      </c>
      <c r="X199" s="0" t="s">
        <v>617</v>
      </c>
      <c r="Y199" s="0" t="n">
        <v>11.7</v>
      </c>
      <c r="Z199" s="0" t="s">
        <v>219</v>
      </c>
      <c r="AA199" s="0" t="n">
        <v>0.855</v>
      </c>
      <c r="AB199" s="0" t="s">
        <v>202</v>
      </c>
      <c r="AC199" s="0" t="n">
        <v>19126000</v>
      </c>
      <c r="AD199" s="0" t="n">
        <v>19126000</v>
      </c>
      <c r="AE199" s="0" t="n">
        <v>22369590.64</v>
      </c>
      <c r="AF199" s="0" t="n">
        <v>0.9445</v>
      </c>
      <c r="AG199" s="0" t="n">
        <v>18065000</v>
      </c>
      <c r="AH199" s="0" t="n">
        <v>18065000</v>
      </c>
      <c r="AI199" s="0" t="n">
        <v>1061000</v>
      </c>
      <c r="AJ199" s="0" t="n">
        <v>19126000</v>
      </c>
      <c r="AK199" s="0" t="n">
        <v>18065000</v>
      </c>
      <c r="AL199" s="0" t="n">
        <v>18065000</v>
      </c>
      <c r="AN199" s="0" t="n">
        <v>5.918</v>
      </c>
      <c r="AO199" s="0" t="n">
        <v>3.411</v>
      </c>
      <c r="AP199" s="0" t="n">
        <v>4.569</v>
      </c>
      <c r="AQ199" s="0" t="n">
        <v>100</v>
      </c>
      <c r="AR199" s="0" t="n">
        <v>100</v>
      </c>
      <c r="AS199" s="1" t="n">
        <v>42419</v>
      </c>
      <c r="AT199" s="1" t="n">
        <v>48994</v>
      </c>
      <c r="AU199" s="1" t="n">
        <v>46295</v>
      </c>
      <c r="AV199" s="0" t="s">
        <v>618</v>
      </c>
      <c r="AW199" s="0" t="s">
        <v>529</v>
      </c>
      <c r="AX199" s="0" t="s">
        <v>187</v>
      </c>
      <c r="AY199" s="0" t="s">
        <v>619</v>
      </c>
      <c r="AZ199" s="0" t="s">
        <v>620</v>
      </c>
      <c r="BA199" s="0" t="s">
        <v>230</v>
      </c>
      <c r="BB199" s="0" t="s">
        <v>529</v>
      </c>
      <c r="BC199" s="0" t="s">
        <v>621</v>
      </c>
      <c r="BI199" s="0" t="n">
        <v>19126000</v>
      </c>
      <c r="BJ199" s="0" t="n">
        <v>22369590.64</v>
      </c>
      <c r="BK199" s="0" t="s">
        <v>253</v>
      </c>
      <c r="BL199" s="0" t="s">
        <v>201</v>
      </c>
      <c r="BN199" s="0" t="n">
        <v>10.8</v>
      </c>
      <c r="BO199" s="0" t="n">
        <v>7.64</v>
      </c>
      <c r="BP199" s="0" t="s">
        <v>187</v>
      </c>
      <c r="BQ199" s="0" t="s">
        <v>202</v>
      </c>
      <c r="BR199" s="0" t="s">
        <v>203</v>
      </c>
      <c r="BS199" s="0" t="s">
        <v>622</v>
      </c>
      <c r="BT199" s="0" t="s">
        <v>255</v>
      </c>
      <c r="BU199" s="0" t="s">
        <v>255</v>
      </c>
      <c r="BW199" s="0" t="s">
        <v>257</v>
      </c>
      <c r="BX199" s="0" t="s">
        <v>217</v>
      </c>
      <c r="BY199" s="0" t="n">
        <v>270</v>
      </c>
      <c r="BZ199" s="0" t="n">
        <v>270</v>
      </c>
      <c r="CC199" s="0" t="s">
        <v>289</v>
      </c>
      <c r="CD199" s="0" t="s">
        <v>289</v>
      </c>
      <c r="CE199" s="0" t="s">
        <v>211</v>
      </c>
      <c r="CF199" s="0" t="s">
        <v>211</v>
      </c>
      <c r="CG199" s="0" t="s">
        <v>211</v>
      </c>
      <c r="CH199" s="1" t="n">
        <v>46112</v>
      </c>
      <c r="CI199" s="0" t="n">
        <v>1.2</v>
      </c>
      <c r="CJ199" s="0" t="n">
        <v>2.54</v>
      </c>
      <c r="CK199" s="0" t="n">
        <v>2.67</v>
      </c>
      <c r="CL199" s="0" t="s">
        <v>212</v>
      </c>
      <c r="DA199" s="0" t="n">
        <v>0.84</v>
      </c>
      <c r="DC199" s="0" t="n">
        <v>0.85</v>
      </c>
      <c r="DD199" s="0" t="s">
        <v>213</v>
      </c>
      <c r="ED199" s="0" t="s">
        <v>213</v>
      </c>
      <c r="EE199" s="0" t="n">
        <v>1.05</v>
      </c>
      <c r="EI199" s="0" t="n">
        <v>1.12</v>
      </c>
      <c r="FQ199" s="0" t="n">
        <v>113000182</v>
      </c>
    </row>
    <row r="200" customFormat="false" ht="15" hidden="false" customHeight="false" outlineLevel="0" collapsed="false">
      <c r="B200" s="0" t="str">
        <f aca="false">C200&amp;"x"&amp;I200</f>
        <v>61025x100243</v>
      </c>
      <c r="C200" s="0" t="n">
        <f aca="false">IF(G200="SINGLE",H200,G200)</f>
        <v>61025</v>
      </c>
      <c r="D200" s="0" t="e">
        <f aca="false">_xlfn.XLOOKUP(I200,calculations!$t:$t,calculations!$s:$s)</f>
        <v>#VALUE!</v>
      </c>
      <c r="E200" s="0" t="str">
        <f aca="false">_xlfn.XLOOKUP(I200,Mapping!$T:$T,Mapping!$Q:$Q)</f>
        <v>NOVA38</v>
      </c>
      <c r="F200" s="1" t="n">
        <v>46203</v>
      </c>
      <c r="G200" s="0" t="n">
        <v>61025</v>
      </c>
      <c r="H200" s="0" t="n">
        <v>61025</v>
      </c>
      <c r="I200" s="0" t="n">
        <v>100243</v>
      </c>
      <c r="J200" s="0" t="s">
        <v>623</v>
      </c>
      <c r="K200" s="0" t="s">
        <v>319</v>
      </c>
      <c r="L200" s="0" t="s">
        <v>319</v>
      </c>
      <c r="M200" s="0" t="s">
        <v>184</v>
      </c>
      <c r="N200" s="0" t="n">
        <v>62309000</v>
      </c>
      <c r="O200" s="0" t="n">
        <v>62309000</v>
      </c>
      <c r="P200" s="0" t="s">
        <v>185</v>
      </c>
      <c r="Q200" s="0" t="s">
        <v>227</v>
      </c>
      <c r="R200" s="0" t="s">
        <v>202</v>
      </c>
      <c r="S200" s="0" t="s">
        <v>624</v>
      </c>
      <c r="T200" s="0" t="s">
        <v>189</v>
      </c>
      <c r="U200" s="0" t="s">
        <v>322</v>
      </c>
      <c r="V200" s="0" t="s">
        <v>323</v>
      </c>
      <c r="W200" s="0" t="s">
        <v>518</v>
      </c>
      <c r="X200" s="0" t="s">
        <v>625</v>
      </c>
      <c r="Y200" s="0" t="n">
        <v>4.2</v>
      </c>
      <c r="Z200" s="0" t="s">
        <v>185</v>
      </c>
      <c r="AA200" s="0" t="n">
        <v>1</v>
      </c>
      <c r="AB200" s="0" t="s">
        <v>187</v>
      </c>
      <c r="AC200" s="0" t="n">
        <v>65168000</v>
      </c>
      <c r="AD200" s="0" t="n">
        <v>65168000</v>
      </c>
      <c r="AE200" s="0" t="n">
        <v>65168000</v>
      </c>
      <c r="AF200" s="0" t="n">
        <v>0.9561</v>
      </c>
      <c r="AG200" s="0" t="n">
        <v>62309000</v>
      </c>
      <c r="AH200" s="0" t="n">
        <v>62309000</v>
      </c>
      <c r="AI200" s="0" t="n">
        <v>2859000</v>
      </c>
      <c r="AJ200" s="0" t="n">
        <v>65168000</v>
      </c>
      <c r="AK200" s="0" t="n">
        <v>62309000</v>
      </c>
      <c r="AL200" s="0" t="n">
        <v>62309000</v>
      </c>
      <c r="AN200" s="0" t="n">
        <v>5.61</v>
      </c>
      <c r="AO200" s="0" t="n">
        <v>4.679</v>
      </c>
      <c r="AP200" s="0" t="n">
        <v>3.745</v>
      </c>
      <c r="AQ200" s="0" t="n">
        <v>100</v>
      </c>
      <c r="AR200" s="0" t="n">
        <v>100</v>
      </c>
      <c r="AS200" s="1" t="n">
        <v>44553</v>
      </c>
      <c r="AT200" s="1" t="n">
        <v>47292</v>
      </c>
      <c r="AU200" s="1" t="n">
        <v>46295</v>
      </c>
      <c r="AV200" s="0" t="s">
        <v>626</v>
      </c>
      <c r="AW200" s="0" t="s">
        <v>312</v>
      </c>
      <c r="AX200" s="0" t="s">
        <v>187</v>
      </c>
      <c r="AY200" s="0" t="s">
        <v>627</v>
      </c>
      <c r="AZ200" s="0" t="s">
        <v>628</v>
      </c>
      <c r="BA200" s="0" t="s">
        <v>323</v>
      </c>
      <c r="BB200" s="0" t="s">
        <v>312</v>
      </c>
      <c r="BC200" s="0" t="s">
        <v>629</v>
      </c>
      <c r="BI200" s="0" t="n">
        <v>65168000</v>
      </c>
      <c r="BJ200" s="0" t="n">
        <v>65168000</v>
      </c>
      <c r="BK200" s="0" t="s">
        <v>253</v>
      </c>
      <c r="BL200" s="0" t="s">
        <v>201</v>
      </c>
      <c r="BN200" s="0" t="n">
        <v>4.5</v>
      </c>
      <c r="BO200" s="0" t="n">
        <v>2.98</v>
      </c>
      <c r="BP200" s="0" t="s">
        <v>187</v>
      </c>
      <c r="BQ200" s="0" t="s">
        <v>202</v>
      </c>
      <c r="BR200" s="0" t="s">
        <v>203</v>
      </c>
      <c r="BS200" s="0" t="s">
        <v>630</v>
      </c>
      <c r="BT200" s="0" t="s">
        <v>205</v>
      </c>
      <c r="BU200" s="0" t="s">
        <v>255</v>
      </c>
      <c r="BW200" s="0" t="s">
        <v>206</v>
      </c>
      <c r="BX200" s="0" t="s">
        <v>217</v>
      </c>
      <c r="BY200" s="0" t="n">
        <v>320</v>
      </c>
      <c r="BZ200" s="0" t="n">
        <v>320</v>
      </c>
      <c r="CC200" s="0" t="s">
        <v>210</v>
      </c>
      <c r="CD200" s="0" t="s">
        <v>210</v>
      </c>
      <c r="CE200" s="0" t="s">
        <v>211</v>
      </c>
      <c r="CF200" s="0" t="s">
        <v>211</v>
      </c>
      <c r="CG200" s="0" t="s">
        <v>211</v>
      </c>
      <c r="CH200" s="1" t="n">
        <v>46112</v>
      </c>
      <c r="CI200" s="0" t="n">
        <v>1.2</v>
      </c>
      <c r="CJ200" s="0" t="n">
        <v>3.3</v>
      </c>
      <c r="CK200" s="0" t="n">
        <v>3.46</v>
      </c>
      <c r="CL200" s="0" t="s">
        <v>212</v>
      </c>
      <c r="DA200" s="0" t="n">
        <v>0.6</v>
      </c>
      <c r="DC200" s="0" t="n">
        <v>0.85</v>
      </c>
      <c r="DD200" s="0" t="s">
        <v>212</v>
      </c>
      <c r="ED200" s="0" t="s">
        <v>212</v>
      </c>
      <c r="EE200" s="0" t="n">
        <v>1.05</v>
      </c>
      <c r="EI200" s="0" t="n">
        <v>1.54</v>
      </c>
      <c r="FQ200" s="0" t="n">
        <v>97582141</v>
      </c>
    </row>
    <row r="201" customFormat="false" ht="15" hidden="false" customHeight="false" outlineLevel="0" collapsed="false">
      <c r="B201" s="0" t="str">
        <f aca="false">C201&amp;"x"&amp;I201</f>
        <v>61017x100243</v>
      </c>
      <c r="C201" s="0" t="n">
        <f aca="false">IF(G201="SINGLE",H201,G201)</f>
        <v>61017</v>
      </c>
      <c r="D201" s="0" t="e">
        <f aca="false">_xlfn.XLOOKUP(I201,calculations!$t:$t,calculations!$s:$s)</f>
        <v>#VALUE!</v>
      </c>
      <c r="E201" s="0" t="str">
        <f aca="false">_xlfn.XLOOKUP(I201,Mapping!$T:$T,Mapping!$Q:$Q)</f>
        <v>NOVA38</v>
      </c>
      <c r="F201" s="1" t="n">
        <v>46203</v>
      </c>
      <c r="G201" s="0" t="n">
        <v>61017</v>
      </c>
      <c r="H201" s="0" t="n">
        <v>61017</v>
      </c>
      <c r="I201" s="0" t="n">
        <v>100243</v>
      </c>
      <c r="J201" s="0" t="s">
        <v>623</v>
      </c>
      <c r="K201" s="0" t="s">
        <v>274</v>
      </c>
      <c r="L201" s="0" t="s">
        <v>274</v>
      </c>
      <c r="M201" s="0" t="s">
        <v>184</v>
      </c>
      <c r="N201" s="0" t="n">
        <v>103190000</v>
      </c>
      <c r="O201" s="0" t="n">
        <v>103190000</v>
      </c>
      <c r="P201" s="0" t="s">
        <v>185</v>
      </c>
      <c r="Q201" s="0" t="s">
        <v>227</v>
      </c>
      <c r="R201" s="0" t="s">
        <v>202</v>
      </c>
      <c r="S201" s="0" t="s">
        <v>624</v>
      </c>
      <c r="T201" s="0" t="s">
        <v>189</v>
      </c>
      <c r="U201" s="0" t="s">
        <v>322</v>
      </c>
      <c r="V201" s="0" t="s">
        <v>323</v>
      </c>
      <c r="W201" s="0" t="s">
        <v>518</v>
      </c>
      <c r="X201" s="0" t="s">
        <v>625</v>
      </c>
      <c r="Y201" s="0" t="n">
        <v>4.2</v>
      </c>
      <c r="Z201" s="0" t="s">
        <v>185</v>
      </c>
      <c r="AA201" s="0" t="n">
        <v>1</v>
      </c>
      <c r="AB201" s="0" t="s">
        <v>187</v>
      </c>
      <c r="AC201" s="0" t="n">
        <v>107926000</v>
      </c>
      <c r="AD201" s="0" t="n">
        <v>107926000</v>
      </c>
      <c r="AE201" s="0" t="n">
        <v>107926000</v>
      </c>
      <c r="AF201" s="0" t="n">
        <v>0.9561</v>
      </c>
      <c r="AG201" s="0" t="n">
        <v>103190000</v>
      </c>
      <c r="AH201" s="0" t="n">
        <v>103190000</v>
      </c>
      <c r="AI201" s="0" t="n">
        <v>4736000</v>
      </c>
      <c r="AJ201" s="0" t="n">
        <v>107926000</v>
      </c>
      <c r="AK201" s="0" t="n">
        <v>103190000</v>
      </c>
      <c r="AL201" s="0" t="n">
        <v>103190000</v>
      </c>
      <c r="AN201" s="0" t="n">
        <v>6.347</v>
      </c>
      <c r="AO201" s="0" t="n">
        <v>5.281</v>
      </c>
      <c r="AP201" s="0" t="n">
        <v>2.963</v>
      </c>
      <c r="AQ201" s="0" t="n">
        <v>100</v>
      </c>
      <c r="AR201" s="0" t="n">
        <v>100</v>
      </c>
      <c r="AS201" s="1" t="n">
        <v>44553</v>
      </c>
      <c r="AT201" s="1" t="n">
        <v>47292</v>
      </c>
      <c r="AU201" s="1" t="n">
        <v>46295</v>
      </c>
      <c r="AV201" s="0" t="s">
        <v>626</v>
      </c>
      <c r="AW201" s="0" t="s">
        <v>312</v>
      </c>
      <c r="AX201" s="0" t="s">
        <v>187</v>
      </c>
      <c r="AY201" s="0" t="s">
        <v>627</v>
      </c>
      <c r="AZ201" s="0" t="s">
        <v>628</v>
      </c>
      <c r="BA201" s="0" t="s">
        <v>323</v>
      </c>
      <c r="BB201" s="0" t="s">
        <v>312</v>
      </c>
      <c r="BC201" s="0" t="s">
        <v>629</v>
      </c>
      <c r="BI201" s="0" t="n">
        <v>107926000</v>
      </c>
      <c r="BJ201" s="0" t="n">
        <v>107926000</v>
      </c>
      <c r="BK201" s="0" t="s">
        <v>253</v>
      </c>
      <c r="BL201" s="0" t="s">
        <v>201</v>
      </c>
      <c r="BN201" s="0" t="n">
        <v>4.5</v>
      </c>
      <c r="BO201" s="0" t="n">
        <v>2.98</v>
      </c>
      <c r="BP201" s="0" t="s">
        <v>187</v>
      </c>
      <c r="BQ201" s="0" t="s">
        <v>202</v>
      </c>
      <c r="BR201" s="0" t="s">
        <v>203</v>
      </c>
      <c r="BS201" s="0" t="s">
        <v>630</v>
      </c>
      <c r="BT201" s="0" t="s">
        <v>205</v>
      </c>
      <c r="BU201" s="0" t="s">
        <v>216</v>
      </c>
      <c r="BW201" s="0" t="s">
        <v>206</v>
      </c>
      <c r="BX201" s="0" t="s">
        <v>207</v>
      </c>
      <c r="BY201" s="0" t="n">
        <v>320</v>
      </c>
      <c r="BZ201" s="0" t="n">
        <v>320</v>
      </c>
      <c r="CC201" s="0" t="s">
        <v>210</v>
      </c>
      <c r="CD201" s="0" t="s">
        <v>210</v>
      </c>
      <c r="CE201" s="0" t="s">
        <v>211</v>
      </c>
      <c r="CF201" s="0" t="s">
        <v>211</v>
      </c>
      <c r="CG201" s="0" t="s">
        <v>211</v>
      </c>
      <c r="CH201" s="1" t="n">
        <v>46112</v>
      </c>
      <c r="CI201" s="0" t="n">
        <v>1.2</v>
      </c>
      <c r="CJ201" s="0" t="n">
        <v>2.52</v>
      </c>
      <c r="CK201" s="0" t="n">
        <v>2.65</v>
      </c>
      <c r="CL201" s="0" t="s">
        <v>212</v>
      </c>
      <c r="DA201" s="0" t="n">
        <v>0.75</v>
      </c>
      <c r="DC201" s="0" t="n">
        <v>0.85</v>
      </c>
      <c r="DD201" s="0" t="s">
        <v>212</v>
      </c>
      <c r="ED201" s="0" t="s">
        <v>212</v>
      </c>
      <c r="EE201" s="0" t="n">
        <v>1.05</v>
      </c>
      <c r="EI201" s="0" t="n">
        <v>1.75</v>
      </c>
      <c r="FQ201" s="0" t="n">
        <v>73680439</v>
      </c>
    </row>
    <row r="202" customFormat="false" ht="15" hidden="false" customHeight="false" outlineLevel="0" collapsed="false">
      <c r="B202" s="0" t="str">
        <f aca="false">C202&amp;"x"&amp;I202</f>
        <v>61023x100243</v>
      </c>
      <c r="C202" s="0" t="n">
        <f aca="false">IF(G202="SINGLE",H202,G202)</f>
        <v>61023</v>
      </c>
      <c r="D202" s="0" t="e">
        <f aca="false">_xlfn.XLOOKUP(I202,calculations!$t:$t,calculations!$s:$s)</f>
        <v>#VALUE!</v>
      </c>
      <c r="E202" s="0" t="str">
        <f aca="false">_xlfn.XLOOKUP(I202,Mapping!$T:$T,Mapping!$Q:$Q)</f>
        <v>NOVA38</v>
      </c>
      <c r="F202" s="1" t="n">
        <v>46203</v>
      </c>
      <c r="G202" s="0" t="n">
        <v>61023</v>
      </c>
      <c r="H202" s="0" t="n">
        <v>61023</v>
      </c>
      <c r="I202" s="0" t="n">
        <v>100243</v>
      </c>
      <c r="J202" s="0" t="s">
        <v>623</v>
      </c>
      <c r="K202" s="0" t="s">
        <v>221</v>
      </c>
      <c r="L202" s="0" t="s">
        <v>221</v>
      </c>
      <c r="M202" s="0" t="s">
        <v>184</v>
      </c>
      <c r="N202" s="0" t="n">
        <v>96022000</v>
      </c>
      <c r="O202" s="0" t="n">
        <v>96022000</v>
      </c>
      <c r="P202" s="0" t="s">
        <v>185</v>
      </c>
      <c r="Q202" s="0" t="s">
        <v>227</v>
      </c>
      <c r="R202" s="0" t="s">
        <v>202</v>
      </c>
      <c r="S202" s="0" t="s">
        <v>624</v>
      </c>
      <c r="T202" s="0" t="s">
        <v>189</v>
      </c>
      <c r="U202" s="0" t="s">
        <v>322</v>
      </c>
      <c r="V202" s="0" t="s">
        <v>323</v>
      </c>
      <c r="W202" s="0" t="s">
        <v>518</v>
      </c>
      <c r="X202" s="0" t="s">
        <v>625</v>
      </c>
      <c r="Y202" s="0" t="n">
        <v>4.2</v>
      </c>
      <c r="Z202" s="0" t="s">
        <v>185</v>
      </c>
      <c r="AA202" s="0" t="n">
        <v>1</v>
      </c>
      <c r="AB202" s="0" t="s">
        <v>187</v>
      </c>
      <c r="AC202" s="0" t="n">
        <v>100429000</v>
      </c>
      <c r="AD202" s="0" t="n">
        <v>100429000</v>
      </c>
      <c r="AE202" s="0" t="n">
        <v>100429000</v>
      </c>
      <c r="AF202" s="0" t="n">
        <v>0.9561</v>
      </c>
      <c r="AG202" s="0" t="n">
        <v>96022000</v>
      </c>
      <c r="AH202" s="0" t="n">
        <v>96022000</v>
      </c>
      <c r="AI202" s="0" t="n">
        <v>4407000</v>
      </c>
      <c r="AJ202" s="0" t="n">
        <v>100429000</v>
      </c>
      <c r="AK202" s="0" t="n">
        <v>96022000</v>
      </c>
      <c r="AL202" s="0" t="n">
        <v>96022000</v>
      </c>
      <c r="AN202" s="0" t="n">
        <v>4.257</v>
      </c>
      <c r="AO202" s="0" t="n">
        <v>4.497</v>
      </c>
      <c r="AP202" s="0" t="n">
        <v>6.4</v>
      </c>
      <c r="AQ202" s="0" t="n">
        <v>100</v>
      </c>
      <c r="AR202" s="0" t="n">
        <v>100</v>
      </c>
      <c r="AS202" s="1" t="n">
        <v>44553</v>
      </c>
      <c r="AT202" s="1" t="n">
        <v>47292</v>
      </c>
      <c r="AU202" s="1" t="n">
        <v>46295</v>
      </c>
      <c r="AV202" s="0" t="s">
        <v>626</v>
      </c>
      <c r="AW202" s="0" t="s">
        <v>312</v>
      </c>
      <c r="AX202" s="0" t="s">
        <v>187</v>
      </c>
      <c r="AY202" s="0" t="s">
        <v>627</v>
      </c>
      <c r="AZ202" s="0" t="s">
        <v>628</v>
      </c>
      <c r="BA202" s="0" t="s">
        <v>323</v>
      </c>
      <c r="BB202" s="0" t="s">
        <v>312</v>
      </c>
      <c r="BC202" s="0" t="s">
        <v>629</v>
      </c>
      <c r="BI202" s="0" t="n">
        <v>100429000</v>
      </c>
      <c r="BJ202" s="0" t="n">
        <v>100429000</v>
      </c>
      <c r="BK202" s="0" t="s">
        <v>253</v>
      </c>
      <c r="BL202" s="0" t="s">
        <v>201</v>
      </c>
      <c r="BN202" s="0" t="n">
        <v>4.5</v>
      </c>
      <c r="BO202" s="0" t="n">
        <v>2.98</v>
      </c>
      <c r="BP202" s="0" t="s">
        <v>187</v>
      </c>
      <c r="BQ202" s="0" t="s">
        <v>202</v>
      </c>
      <c r="BR202" s="0" t="s">
        <v>203</v>
      </c>
      <c r="BS202" s="0" t="s">
        <v>630</v>
      </c>
      <c r="BT202" s="0" t="s">
        <v>205</v>
      </c>
      <c r="BU202" s="0" t="s">
        <v>220</v>
      </c>
      <c r="BW202" s="0" t="s">
        <v>257</v>
      </c>
      <c r="BX202" s="0" t="s">
        <v>217</v>
      </c>
      <c r="BY202" s="0" t="n">
        <v>320</v>
      </c>
      <c r="BZ202" s="0" t="n">
        <v>320</v>
      </c>
      <c r="CC202" s="0" t="s">
        <v>210</v>
      </c>
      <c r="CD202" s="0" t="s">
        <v>210</v>
      </c>
      <c r="CE202" s="0" t="s">
        <v>211</v>
      </c>
      <c r="CF202" s="0" t="s">
        <v>211</v>
      </c>
      <c r="CG202" s="0" t="s">
        <v>211</v>
      </c>
      <c r="CH202" s="1" t="n">
        <v>46112</v>
      </c>
      <c r="CI202" s="0" t="n">
        <v>1.2</v>
      </c>
      <c r="CJ202" s="0" t="n">
        <v>3.03</v>
      </c>
      <c r="CK202" s="0" t="n">
        <v>3.18</v>
      </c>
      <c r="CL202" s="0" t="s">
        <v>212</v>
      </c>
      <c r="DA202" s="0" t="n">
        <v>0.56</v>
      </c>
      <c r="DC202" s="0" t="n">
        <v>0.85</v>
      </c>
      <c r="DD202" s="0" t="s">
        <v>212</v>
      </c>
      <c r="ED202" s="0" t="s">
        <v>212</v>
      </c>
      <c r="EE202" s="0" t="n">
        <v>1.05</v>
      </c>
      <c r="EI202" s="0" t="n">
        <v>1.84</v>
      </c>
      <c r="FQ202" s="0" t="n">
        <v>108952231</v>
      </c>
    </row>
    <row r="203" customFormat="false" ht="15" hidden="false" customHeight="false" outlineLevel="0" collapsed="false">
      <c r="B203" s="0" t="str">
        <f aca="false">C203&amp;"x"&amp;I203</f>
        <v>61021x100243</v>
      </c>
      <c r="C203" s="0" t="n">
        <f aca="false">IF(G203="SINGLE",H203,G203)</f>
        <v>61021</v>
      </c>
      <c r="D203" s="0" t="e">
        <f aca="false">_xlfn.XLOOKUP(I203,calculations!$t:$t,calculations!$s:$s)</f>
        <v>#VALUE!</v>
      </c>
      <c r="E203" s="0" t="str">
        <f aca="false">_xlfn.XLOOKUP(I203,Mapping!$T:$T,Mapping!$Q:$Q)</f>
        <v>NOVA38</v>
      </c>
      <c r="F203" s="1" t="n">
        <v>46203</v>
      </c>
      <c r="G203" s="0" t="n">
        <v>61021</v>
      </c>
      <c r="H203" s="0" t="n">
        <v>61021</v>
      </c>
      <c r="I203" s="0" t="n">
        <v>100243</v>
      </c>
      <c r="J203" s="0" t="s">
        <v>623</v>
      </c>
      <c r="K203" s="0" t="s">
        <v>214</v>
      </c>
      <c r="L203" s="0" t="s">
        <v>214</v>
      </c>
      <c r="M203" s="0" t="s">
        <v>184</v>
      </c>
      <c r="N203" s="0" t="n">
        <v>85146000</v>
      </c>
      <c r="O203" s="0" t="n">
        <v>85146000</v>
      </c>
      <c r="P203" s="0" t="s">
        <v>185</v>
      </c>
      <c r="Q203" s="0" t="s">
        <v>227</v>
      </c>
      <c r="R203" s="0" t="s">
        <v>202</v>
      </c>
      <c r="S203" s="0" t="s">
        <v>624</v>
      </c>
      <c r="T203" s="0" t="s">
        <v>189</v>
      </c>
      <c r="U203" s="0" t="s">
        <v>322</v>
      </c>
      <c r="V203" s="0" t="s">
        <v>323</v>
      </c>
      <c r="W203" s="0" t="s">
        <v>518</v>
      </c>
      <c r="X203" s="0" t="s">
        <v>625</v>
      </c>
      <c r="Y203" s="0" t="n">
        <v>4.2</v>
      </c>
      <c r="Z203" s="0" t="s">
        <v>185</v>
      </c>
      <c r="AA203" s="0" t="n">
        <v>1</v>
      </c>
      <c r="AB203" s="0" t="s">
        <v>187</v>
      </c>
      <c r="AC203" s="0" t="n">
        <v>89054000</v>
      </c>
      <c r="AD203" s="0" t="n">
        <v>89054000</v>
      </c>
      <c r="AE203" s="0" t="n">
        <v>89054000</v>
      </c>
      <c r="AF203" s="0" t="n">
        <v>0.9561</v>
      </c>
      <c r="AG203" s="0" t="n">
        <v>85146000</v>
      </c>
      <c r="AH203" s="0" t="n">
        <v>85146000</v>
      </c>
      <c r="AI203" s="0" t="n">
        <v>3908000</v>
      </c>
      <c r="AJ203" s="0" t="n">
        <v>89054000</v>
      </c>
      <c r="AK203" s="0" t="n">
        <v>85146000</v>
      </c>
      <c r="AL203" s="0" t="n">
        <v>85146000</v>
      </c>
      <c r="AN203" s="0" t="n">
        <v>4.172</v>
      </c>
      <c r="AO203" s="0" t="n">
        <v>3.415</v>
      </c>
      <c r="AP203" s="0" t="n">
        <v>6.187</v>
      </c>
      <c r="AQ203" s="0" t="n">
        <v>100</v>
      </c>
      <c r="AR203" s="0" t="n">
        <v>100</v>
      </c>
      <c r="AS203" s="1" t="n">
        <v>44553</v>
      </c>
      <c r="AT203" s="1" t="n">
        <v>47292</v>
      </c>
      <c r="AU203" s="1" t="n">
        <v>46295</v>
      </c>
      <c r="AV203" s="0" t="s">
        <v>626</v>
      </c>
      <c r="AW203" s="0" t="s">
        <v>312</v>
      </c>
      <c r="AX203" s="0" t="s">
        <v>187</v>
      </c>
      <c r="AY203" s="0" t="s">
        <v>627</v>
      </c>
      <c r="AZ203" s="0" t="s">
        <v>628</v>
      </c>
      <c r="BA203" s="0" t="s">
        <v>323</v>
      </c>
      <c r="BB203" s="0" t="s">
        <v>312</v>
      </c>
      <c r="BC203" s="0" t="s">
        <v>629</v>
      </c>
      <c r="BI203" s="0" t="n">
        <v>89054000</v>
      </c>
      <c r="BJ203" s="0" t="n">
        <v>89054000</v>
      </c>
      <c r="BK203" s="0" t="s">
        <v>253</v>
      </c>
      <c r="BL203" s="0" t="s">
        <v>201</v>
      </c>
      <c r="BN203" s="0" t="n">
        <v>4.5</v>
      </c>
      <c r="BO203" s="0" t="n">
        <v>2.98</v>
      </c>
      <c r="BP203" s="0" t="s">
        <v>187</v>
      </c>
      <c r="BQ203" s="0" t="s">
        <v>202</v>
      </c>
      <c r="BR203" s="0" t="s">
        <v>203</v>
      </c>
      <c r="BS203" s="0" t="s">
        <v>630</v>
      </c>
      <c r="BT203" s="0" t="s">
        <v>205</v>
      </c>
      <c r="BU203" s="0" t="s">
        <v>224</v>
      </c>
      <c r="BW203" s="0" t="s">
        <v>257</v>
      </c>
      <c r="BX203" s="0" t="s">
        <v>207</v>
      </c>
      <c r="BY203" s="0" t="n">
        <v>320</v>
      </c>
      <c r="BZ203" s="0" t="n">
        <v>320</v>
      </c>
      <c r="CC203" s="0" t="s">
        <v>210</v>
      </c>
      <c r="CD203" s="0" t="s">
        <v>210</v>
      </c>
      <c r="CE203" s="0" t="s">
        <v>211</v>
      </c>
      <c r="CF203" s="0" t="s">
        <v>211</v>
      </c>
      <c r="CG203" s="0" t="s">
        <v>211</v>
      </c>
      <c r="CH203" s="1" t="n">
        <v>46112</v>
      </c>
      <c r="CI203" s="0" t="n">
        <v>1.2</v>
      </c>
      <c r="CJ203" s="0" t="n">
        <v>1.48</v>
      </c>
      <c r="CK203" s="0" t="n">
        <v>1.55</v>
      </c>
      <c r="CL203" s="0" t="s">
        <v>212</v>
      </c>
      <c r="DA203" s="0" t="n">
        <v>0.7</v>
      </c>
      <c r="DC203" s="0" t="n">
        <v>0.85</v>
      </c>
      <c r="DD203" s="0" t="s">
        <v>212</v>
      </c>
      <c r="ED203" s="0" t="s">
        <v>213</v>
      </c>
      <c r="EE203" s="0" t="n">
        <v>1.05</v>
      </c>
      <c r="EI203" s="0" t="n">
        <v>1.1</v>
      </c>
      <c r="FQ203" s="0" t="n">
        <v>67252924</v>
      </c>
    </row>
    <row r="204" customFormat="false" ht="15" hidden="false" customHeight="false" outlineLevel="0" collapsed="false">
      <c r="B204" s="0" t="str">
        <f aca="false">C204&amp;"x"&amp;I204</f>
        <v>61018x100244</v>
      </c>
      <c r="C204" s="0" t="n">
        <f aca="false">IF(G204="SINGLE",H204,G204)</f>
        <v>61018</v>
      </c>
      <c r="D204" s="0" t="e">
        <f aca="false">_xlfn.XLOOKUP(I204,calculations!$t:$t,calculations!$s:$s)</f>
        <v>#VALUE!</v>
      </c>
      <c r="E204" s="0" t="str">
        <f aca="false">_xlfn.XLOOKUP(I204,Mapping!$T:$T,Mapping!$Q:$Q)</f>
        <v>OPAL39</v>
      </c>
      <c r="F204" s="1" t="n">
        <v>46203</v>
      </c>
      <c r="G204" s="0" t="n">
        <v>61018</v>
      </c>
      <c r="H204" s="0" t="n">
        <v>61018</v>
      </c>
      <c r="I204" s="0" t="n">
        <v>100244</v>
      </c>
      <c r="J204" s="0" t="s">
        <v>631</v>
      </c>
      <c r="K204" s="0" t="s">
        <v>258</v>
      </c>
      <c r="L204" s="0" t="s">
        <v>258</v>
      </c>
      <c r="M204" s="0" t="s">
        <v>184</v>
      </c>
      <c r="N204" s="0" t="n">
        <v>45829000</v>
      </c>
      <c r="O204" s="0" t="n">
        <v>4055663.72</v>
      </c>
      <c r="P204" s="0" t="s">
        <v>185</v>
      </c>
      <c r="Q204" s="0" t="s">
        <v>227</v>
      </c>
      <c r="R204" s="0" t="s">
        <v>187</v>
      </c>
      <c r="S204" s="0" t="s">
        <v>632</v>
      </c>
      <c r="T204" s="0" t="s">
        <v>189</v>
      </c>
      <c r="U204" s="0" t="s">
        <v>432</v>
      </c>
      <c r="V204" s="0" t="s">
        <v>433</v>
      </c>
      <c r="W204" s="0" t="s">
        <v>246</v>
      </c>
      <c r="X204" s="0" t="s">
        <v>633</v>
      </c>
      <c r="Y204" s="0" t="n">
        <v>8.7</v>
      </c>
      <c r="Z204" s="0" t="s">
        <v>436</v>
      </c>
      <c r="AA204" s="0" t="n">
        <v>11.3</v>
      </c>
      <c r="AB204" s="0" t="s">
        <v>202</v>
      </c>
      <c r="AC204" s="0" t="n">
        <v>63494000</v>
      </c>
      <c r="AD204" s="0" t="n">
        <v>63494000</v>
      </c>
      <c r="AE204" s="0" t="n">
        <v>5618938.05</v>
      </c>
      <c r="AF204" s="0" t="n">
        <v>0.7218</v>
      </c>
      <c r="AG204" s="0" t="n">
        <v>45829000</v>
      </c>
      <c r="AH204" s="0" t="n">
        <v>45829000</v>
      </c>
      <c r="AI204" s="0" t="n">
        <v>17665000</v>
      </c>
      <c r="AJ204" s="0" t="n">
        <v>63494000</v>
      </c>
      <c r="AK204" s="0" t="n">
        <v>45829000</v>
      </c>
      <c r="AL204" s="0" t="n">
        <v>45829000</v>
      </c>
      <c r="AN204" s="0" t="n">
        <v>6.285</v>
      </c>
      <c r="AO204" s="0" t="n">
        <v>5.499</v>
      </c>
      <c r="AP204" s="0" t="n">
        <v>3.55</v>
      </c>
      <c r="AQ204" s="0" t="n">
        <v>100</v>
      </c>
      <c r="AR204" s="0" t="n">
        <v>100</v>
      </c>
      <c r="AS204" s="1" t="n">
        <v>43925</v>
      </c>
      <c r="AT204" s="1" t="n">
        <v>50134</v>
      </c>
      <c r="AU204" s="1" t="n">
        <v>46295</v>
      </c>
      <c r="AV204" s="0" t="s">
        <v>634</v>
      </c>
      <c r="AW204" s="0" t="s">
        <v>234</v>
      </c>
      <c r="AX204" s="0" t="s">
        <v>187</v>
      </c>
      <c r="AY204" s="0" t="s">
        <v>635</v>
      </c>
      <c r="AZ204" s="0" t="s">
        <v>636</v>
      </c>
      <c r="BA204" s="0" t="s">
        <v>433</v>
      </c>
      <c r="BB204" s="0" t="s">
        <v>234</v>
      </c>
      <c r="BC204" s="0" t="s">
        <v>637</v>
      </c>
      <c r="BI204" s="0" t="n">
        <v>63494000</v>
      </c>
      <c r="BJ204" s="0" t="n">
        <v>5618938.05</v>
      </c>
      <c r="BK204" s="0" t="s">
        <v>253</v>
      </c>
      <c r="BL204" s="0" t="s">
        <v>201</v>
      </c>
      <c r="BN204" s="0" t="n">
        <v>10.2</v>
      </c>
      <c r="BO204" s="0" t="n">
        <v>10.76</v>
      </c>
      <c r="BP204" s="0" t="s">
        <v>187</v>
      </c>
      <c r="BQ204" s="0" t="s">
        <v>187</v>
      </c>
      <c r="BR204" s="0" t="s">
        <v>203</v>
      </c>
      <c r="BS204" s="0" t="s">
        <v>638</v>
      </c>
      <c r="BT204" s="0" t="s">
        <v>224</v>
      </c>
      <c r="BU204" s="0" t="s">
        <v>255</v>
      </c>
      <c r="BW204" s="0" t="s">
        <v>206</v>
      </c>
      <c r="BX204" s="0" t="s">
        <v>217</v>
      </c>
      <c r="BY204" s="0" t="n">
        <v>305</v>
      </c>
      <c r="BZ204" s="0" t="n">
        <v>305</v>
      </c>
      <c r="CC204" s="0" t="s">
        <v>239</v>
      </c>
      <c r="CD204" s="0" t="s">
        <v>239</v>
      </c>
      <c r="CE204" s="0" t="s">
        <v>211</v>
      </c>
      <c r="CF204" s="0" t="s">
        <v>211</v>
      </c>
      <c r="CG204" s="0" t="s">
        <v>211</v>
      </c>
      <c r="CH204" s="1" t="n">
        <v>46112</v>
      </c>
      <c r="CI204" s="0" t="n">
        <v>1.2</v>
      </c>
      <c r="CJ204" s="0" t="n">
        <v>2.11</v>
      </c>
      <c r="CK204" s="0" t="n">
        <v>2.22</v>
      </c>
      <c r="CL204" s="0" t="s">
        <v>212</v>
      </c>
      <c r="DA204" s="0" t="n">
        <v>0.84</v>
      </c>
      <c r="DC204" s="0" t="n">
        <v>0.85</v>
      </c>
      <c r="DD204" s="0" t="s">
        <v>213</v>
      </c>
      <c r="ED204" s="0" t="s">
        <v>212</v>
      </c>
      <c r="EE204" s="0" t="n">
        <v>1.05</v>
      </c>
      <c r="EI204" s="0" t="n">
        <v>1.39</v>
      </c>
      <c r="FQ204" s="0" t="n">
        <v>40827621</v>
      </c>
    </row>
    <row r="205" customFormat="false" ht="15" hidden="false" customHeight="false" outlineLevel="0" collapsed="false">
      <c r="B205" s="0" t="str">
        <f aca="false">C205&amp;"x"&amp;I205</f>
        <v>61012x100244</v>
      </c>
      <c r="C205" s="0" t="n">
        <f aca="false">IF(G205="SINGLE",H205,G205)</f>
        <v>61012</v>
      </c>
      <c r="D205" s="0" t="e">
        <f aca="false">_xlfn.XLOOKUP(I205,calculations!$t:$t,calculations!$s:$s)</f>
        <v>#VALUE!</v>
      </c>
      <c r="E205" s="0" t="str">
        <f aca="false">_xlfn.XLOOKUP(I205,Mapping!$T:$T,Mapping!$Q:$Q)</f>
        <v>OPAL39</v>
      </c>
      <c r="F205" s="1" t="n">
        <v>46203</v>
      </c>
      <c r="G205" s="0" t="n">
        <v>61012</v>
      </c>
      <c r="H205" s="0" t="n">
        <v>61012</v>
      </c>
      <c r="I205" s="0" t="n">
        <v>100244</v>
      </c>
      <c r="J205" s="0" t="s">
        <v>631</v>
      </c>
      <c r="K205" s="0" t="s">
        <v>332</v>
      </c>
      <c r="L205" s="0" t="s">
        <v>332</v>
      </c>
      <c r="M205" s="0" t="s">
        <v>184</v>
      </c>
      <c r="N205" s="0" t="n">
        <v>29706000</v>
      </c>
      <c r="O205" s="0" t="n">
        <v>2628849.56</v>
      </c>
      <c r="P205" s="0" t="s">
        <v>219</v>
      </c>
      <c r="Q205" s="0" t="s">
        <v>227</v>
      </c>
      <c r="R205" s="0" t="s">
        <v>187</v>
      </c>
      <c r="S205" s="0" t="s">
        <v>632</v>
      </c>
      <c r="T205" s="0" t="s">
        <v>189</v>
      </c>
      <c r="U205" s="0" t="s">
        <v>432</v>
      </c>
      <c r="V205" s="0" t="s">
        <v>433</v>
      </c>
      <c r="W205" s="0" t="s">
        <v>246</v>
      </c>
      <c r="X205" s="0" t="s">
        <v>633</v>
      </c>
      <c r="Y205" s="0" t="n">
        <v>8.7</v>
      </c>
      <c r="Z205" s="0" t="s">
        <v>436</v>
      </c>
      <c r="AA205" s="0" t="n">
        <v>11.3</v>
      </c>
      <c r="AB205" s="0" t="s">
        <v>202</v>
      </c>
      <c r="AC205" s="0" t="n">
        <v>41156000</v>
      </c>
      <c r="AD205" s="0" t="n">
        <v>41156000</v>
      </c>
      <c r="AE205" s="0" t="n">
        <v>3642123.89</v>
      </c>
      <c r="AF205" s="0" t="n">
        <v>0.7218</v>
      </c>
      <c r="AG205" s="0" t="n">
        <v>29706000</v>
      </c>
      <c r="AH205" s="0" t="n">
        <v>29706000</v>
      </c>
      <c r="AI205" s="0" t="n">
        <v>11450000</v>
      </c>
      <c r="AJ205" s="0" t="n">
        <v>41156000</v>
      </c>
      <c r="AK205" s="0" t="n">
        <v>29706000</v>
      </c>
      <c r="AL205" s="0" t="n">
        <v>29706000</v>
      </c>
      <c r="AN205" s="0" t="n">
        <v>2.841</v>
      </c>
      <c r="AO205" s="0" t="n">
        <v>6.137</v>
      </c>
      <c r="AP205" s="0" t="n">
        <v>3.599</v>
      </c>
      <c r="AQ205" s="0" t="n">
        <v>100</v>
      </c>
      <c r="AR205" s="0" t="n">
        <v>100</v>
      </c>
      <c r="AS205" s="1" t="n">
        <v>43925</v>
      </c>
      <c r="AT205" s="1" t="n">
        <v>50134</v>
      </c>
      <c r="AU205" s="1" t="n">
        <v>46295</v>
      </c>
      <c r="AV205" s="0" t="s">
        <v>634</v>
      </c>
      <c r="AW205" s="0" t="s">
        <v>234</v>
      </c>
      <c r="AX205" s="0" t="s">
        <v>187</v>
      </c>
      <c r="AY205" s="0" t="s">
        <v>635</v>
      </c>
      <c r="AZ205" s="0" t="s">
        <v>636</v>
      </c>
      <c r="BA205" s="0" t="s">
        <v>433</v>
      </c>
      <c r="BB205" s="0" t="s">
        <v>234</v>
      </c>
      <c r="BC205" s="0" t="s">
        <v>637</v>
      </c>
      <c r="BI205" s="0" t="n">
        <v>41156000</v>
      </c>
      <c r="BJ205" s="0" t="n">
        <v>3642123.89</v>
      </c>
      <c r="BK205" s="0" t="s">
        <v>253</v>
      </c>
      <c r="BL205" s="0" t="s">
        <v>201</v>
      </c>
      <c r="BN205" s="0" t="n">
        <v>10.2</v>
      </c>
      <c r="BO205" s="0" t="n">
        <v>10.76</v>
      </c>
      <c r="BP205" s="0" t="s">
        <v>187</v>
      </c>
      <c r="BQ205" s="0" t="s">
        <v>187</v>
      </c>
      <c r="BR205" s="0" t="s">
        <v>203</v>
      </c>
      <c r="BS205" s="0" t="s">
        <v>638</v>
      </c>
      <c r="BT205" s="0" t="s">
        <v>224</v>
      </c>
      <c r="BU205" s="0" t="s">
        <v>216</v>
      </c>
      <c r="BW205" s="0" t="s">
        <v>206</v>
      </c>
      <c r="BX205" s="0" t="s">
        <v>217</v>
      </c>
      <c r="BY205" s="0" t="n">
        <v>305</v>
      </c>
      <c r="BZ205" s="0" t="n">
        <v>305</v>
      </c>
      <c r="CC205" s="0" t="s">
        <v>239</v>
      </c>
      <c r="CD205" s="0" t="s">
        <v>239</v>
      </c>
      <c r="CE205" s="0" t="s">
        <v>211</v>
      </c>
      <c r="CF205" s="0" t="s">
        <v>211</v>
      </c>
      <c r="CG205" s="0" t="s">
        <v>211</v>
      </c>
      <c r="CH205" s="1" t="n">
        <v>46112</v>
      </c>
      <c r="CI205" s="0" t="n">
        <v>1.2</v>
      </c>
      <c r="CJ205" s="0" t="n">
        <v>2.22</v>
      </c>
      <c r="CK205" s="0" t="n">
        <v>2.33</v>
      </c>
      <c r="CL205" s="0" t="s">
        <v>212</v>
      </c>
      <c r="DA205" s="0" t="n">
        <v>0.63</v>
      </c>
      <c r="DC205" s="0" t="n">
        <v>0.85</v>
      </c>
      <c r="DD205" s="0" t="s">
        <v>212</v>
      </c>
      <c r="ED205" s="0" t="s">
        <v>212</v>
      </c>
      <c r="EE205" s="0" t="n">
        <v>1.05</v>
      </c>
      <c r="EI205" s="0" t="n">
        <v>1.23</v>
      </c>
      <c r="FQ205" s="0" t="n">
        <v>48016633</v>
      </c>
    </row>
    <row r="206" customFormat="false" ht="15" hidden="false" customHeight="false" outlineLevel="0" collapsed="false">
      <c r="B206" s="0" t="str">
        <f aca="false">C206&amp;"x"&amp;I206</f>
        <v>61023x100244</v>
      </c>
      <c r="C206" s="0" t="n">
        <f aca="false">IF(G206="SINGLE",H206,G206)</f>
        <v>61023</v>
      </c>
      <c r="D206" s="0" t="e">
        <f aca="false">_xlfn.XLOOKUP(I206,calculations!$t:$t,calculations!$s:$s)</f>
        <v>#VALUE!</v>
      </c>
      <c r="E206" s="0" t="str">
        <f aca="false">_xlfn.XLOOKUP(I206,Mapping!$T:$T,Mapping!$Q:$Q)</f>
        <v>OPAL39</v>
      </c>
      <c r="F206" s="1" t="n">
        <v>46203</v>
      </c>
      <c r="G206" s="0" t="n">
        <v>61023</v>
      </c>
      <c r="H206" s="0" t="n">
        <v>61023</v>
      </c>
      <c r="I206" s="0" t="n">
        <v>100244</v>
      </c>
      <c r="J206" s="0" t="s">
        <v>631</v>
      </c>
      <c r="K206" s="0" t="s">
        <v>221</v>
      </c>
      <c r="L206" s="0" t="s">
        <v>221</v>
      </c>
      <c r="M206" s="0" t="s">
        <v>184</v>
      </c>
      <c r="N206" s="0" t="n">
        <v>39035000</v>
      </c>
      <c r="O206" s="0" t="n">
        <v>3454424.78</v>
      </c>
      <c r="P206" s="0" t="s">
        <v>185</v>
      </c>
      <c r="Q206" s="0" t="s">
        <v>227</v>
      </c>
      <c r="R206" s="0" t="s">
        <v>187</v>
      </c>
      <c r="S206" s="0" t="s">
        <v>632</v>
      </c>
      <c r="T206" s="0" t="s">
        <v>189</v>
      </c>
      <c r="U206" s="0" t="s">
        <v>432</v>
      </c>
      <c r="V206" s="0" t="s">
        <v>433</v>
      </c>
      <c r="W206" s="0" t="s">
        <v>246</v>
      </c>
      <c r="X206" s="0" t="s">
        <v>633</v>
      </c>
      <c r="Y206" s="0" t="n">
        <v>8.7</v>
      </c>
      <c r="Z206" s="0" t="s">
        <v>436</v>
      </c>
      <c r="AA206" s="0" t="n">
        <v>11.3</v>
      </c>
      <c r="AB206" s="0" t="s">
        <v>202</v>
      </c>
      <c r="AC206" s="0" t="n">
        <v>54081000</v>
      </c>
      <c r="AD206" s="0" t="n">
        <v>54081000</v>
      </c>
      <c r="AE206" s="0" t="n">
        <v>4785929.2</v>
      </c>
      <c r="AF206" s="0" t="n">
        <v>0.7218</v>
      </c>
      <c r="AG206" s="0" t="n">
        <v>39035000</v>
      </c>
      <c r="AH206" s="0" t="n">
        <v>39035000</v>
      </c>
      <c r="AI206" s="0" t="n">
        <v>15046000</v>
      </c>
      <c r="AJ206" s="0" t="n">
        <v>54081000</v>
      </c>
      <c r="AK206" s="0" t="n">
        <v>39035000</v>
      </c>
      <c r="AL206" s="0" t="n">
        <v>39035000</v>
      </c>
      <c r="AN206" s="0" t="n">
        <v>6.182</v>
      </c>
      <c r="AO206" s="0" t="n">
        <v>6.417</v>
      </c>
      <c r="AP206" s="0" t="n">
        <v>6.068</v>
      </c>
      <c r="AQ206" s="0" t="n">
        <v>100</v>
      </c>
      <c r="AR206" s="0" t="n">
        <v>100</v>
      </c>
      <c r="AS206" s="1" t="n">
        <v>43925</v>
      </c>
      <c r="AT206" s="1" t="n">
        <v>50134</v>
      </c>
      <c r="AU206" s="1" t="n">
        <v>46295</v>
      </c>
      <c r="AV206" s="0" t="s">
        <v>634</v>
      </c>
      <c r="AW206" s="0" t="s">
        <v>234</v>
      </c>
      <c r="AX206" s="0" t="s">
        <v>187</v>
      </c>
      <c r="AY206" s="0" t="s">
        <v>635</v>
      </c>
      <c r="AZ206" s="0" t="s">
        <v>636</v>
      </c>
      <c r="BA206" s="0" t="s">
        <v>433</v>
      </c>
      <c r="BB206" s="0" t="s">
        <v>234</v>
      </c>
      <c r="BC206" s="0" t="s">
        <v>637</v>
      </c>
      <c r="BI206" s="0" t="n">
        <v>54081000</v>
      </c>
      <c r="BJ206" s="0" t="n">
        <v>4785929.2</v>
      </c>
      <c r="BK206" s="0" t="s">
        <v>253</v>
      </c>
      <c r="BL206" s="0" t="s">
        <v>201</v>
      </c>
      <c r="BN206" s="0" t="n">
        <v>10.2</v>
      </c>
      <c r="BO206" s="0" t="n">
        <v>10.76</v>
      </c>
      <c r="BP206" s="0" t="s">
        <v>187</v>
      </c>
      <c r="BQ206" s="0" t="s">
        <v>187</v>
      </c>
      <c r="BR206" s="0" t="s">
        <v>203</v>
      </c>
      <c r="BS206" s="0" t="s">
        <v>638</v>
      </c>
      <c r="BT206" s="0" t="s">
        <v>224</v>
      </c>
      <c r="BU206" s="0" t="s">
        <v>220</v>
      </c>
      <c r="BW206" s="0" t="s">
        <v>257</v>
      </c>
      <c r="BX206" s="0" t="s">
        <v>217</v>
      </c>
      <c r="BY206" s="0" t="n">
        <v>305</v>
      </c>
      <c r="BZ206" s="0" t="n">
        <v>305</v>
      </c>
      <c r="CC206" s="0" t="s">
        <v>239</v>
      </c>
      <c r="CD206" s="0" t="s">
        <v>239</v>
      </c>
      <c r="CE206" s="0" t="s">
        <v>211</v>
      </c>
      <c r="CF206" s="0" t="s">
        <v>211</v>
      </c>
      <c r="CG206" s="0" t="s">
        <v>211</v>
      </c>
      <c r="CH206" s="1" t="n">
        <v>46112</v>
      </c>
      <c r="CI206" s="0" t="n">
        <v>1.2</v>
      </c>
      <c r="CJ206" s="0" t="n">
        <v>1.91</v>
      </c>
      <c r="CK206" s="0" t="n">
        <v>2.01</v>
      </c>
      <c r="CL206" s="0" t="s">
        <v>212</v>
      </c>
      <c r="DA206" s="0" t="n">
        <v>0.52</v>
      </c>
      <c r="DC206" s="0" t="n">
        <v>0.85</v>
      </c>
      <c r="DD206" s="0" t="s">
        <v>212</v>
      </c>
      <c r="ED206" s="0" t="s">
        <v>212</v>
      </c>
      <c r="EE206" s="0" t="n">
        <v>1.05</v>
      </c>
      <c r="EI206" s="0" t="n">
        <v>1.75</v>
      </c>
      <c r="FQ206" s="0" t="n">
        <v>44859380</v>
      </c>
    </row>
    <row r="207" customFormat="false" ht="15" hidden="false" customHeight="false" outlineLevel="0" collapsed="false">
      <c r="B207" s="0" t="str">
        <f aca="false">C207&amp;"x"&amp;I207</f>
        <v>61015x100245</v>
      </c>
      <c r="C207" s="0" t="n">
        <f aca="false">IF(G207="SINGLE",H207,G207)</f>
        <v>61015</v>
      </c>
      <c r="D207" s="0" t="e">
        <f aca="false">_xlfn.XLOOKUP(I207,calculations!$t:$t,calculations!$s:$s)</f>
        <v>#VALUE!</v>
      </c>
      <c r="E207" s="0" t="str">
        <f aca="false">_xlfn.XLOOKUP(I207,Mapping!$T:$T,Mapping!$Q:$Q)</f>
        <v>PRIS40</v>
      </c>
      <c r="F207" s="1" t="n">
        <v>46203</v>
      </c>
      <c r="G207" s="0" t="n">
        <v>61015</v>
      </c>
      <c r="H207" s="0" t="n">
        <v>61015</v>
      </c>
      <c r="I207" s="0" t="n">
        <v>100245</v>
      </c>
      <c r="J207" s="0" t="s">
        <v>639</v>
      </c>
      <c r="K207" s="0" t="s">
        <v>215</v>
      </c>
      <c r="L207" s="0" t="s">
        <v>215</v>
      </c>
      <c r="M207" s="0" t="s">
        <v>184</v>
      </c>
      <c r="N207" s="0" t="n">
        <v>1465000</v>
      </c>
      <c r="O207" s="0" t="n">
        <v>1465000</v>
      </c>
      <c r="P207" s="0" t="s">
        <v>185</v>
      </c>
      <c r="Q207" s="0" t="s">
        <v>227</v>
      </c>
      <c r="R207" s="0" t="s">
        <v>187</v>
      </c>
      <c r="S207" s="0" t="s">
        <v>640</v>
      </c>
      <c r="T207" s="0" t="s">
        <v>189</v>
      </c>
      <c r="U207" s="0" t="s">
        <v>367</v>
      </c>
      <c r="V207" s="0" t="s">
        <v>368</v>
      </c>
      <c r="W207" s="0" t="s">
        <v>347</v>
      </c>
      <c r="X207" s="0" t="s">
        <v>641</v>
      </c>
      <c r="Y207" s="0" t="n">
        <v>8.6</v>
      </c>
      <c r="Z207" s="0" t="s">
        <v>185</v>
      </c>
      <c r="AA207" s="0" t="n">
        <v>1</v>
      </c>
      <c r="AB207" s="0" t="s">
        <v>187</v>
      </c>
      <c r="AC207" s="0" t="n">
        <v>3815000</v>
      </c>
      <c r="AD207" s="0" t="n">
        <v>3815000</v>
      </c>
      <c r="AE207" s="0" t="n">
        <v>3815000</v>
      </c>
      <c r="AF207" s="0" t="n">
        <v>0.384</v>
      </c>
      <c r="AG207" s="0" t="n">
        <v>1465000</v>
      </c>
      <c r="AH207" s="0" t="n">
        <v>1465000</v>
      </c>
      <c r="AI207" s="0" t="n">
        <v>2350000</v>
      </c>
      <c r="AJ207" s="0" t="n">
        <v>3815000</v>
      </c>
      <c r="AK207" s="0" t="n">
        <v>1465000</v>
      </c>
      <c r="AL207" s="0" t="n">
        <v>1465000</v>
      </c>
      <c r="AM207" s="0" t="s">
        <v>194</v>
      </c>
      <c r="AN207" s="0" t="n">
        <v>5.944</v>
      </c>
      <c r="AO207" s="0" t="n">
        <v>3.826</v>
      </c>
      <c r="AP207" s="0" t="n">
        <v>3.882</v>
      </c>
      <c r="AQ207" s="0" t="n">
        <v>100</v>
      </c>
      <c r="AR207" s="0" t="n">
        <v>100</v>
      </c>
      <c r="AS207" s="1" t="n">
        <v>43690</v>
      </c>
      <c r="AT207" s="1" t="n">
        <v>49353</v>
      </c>
      <c r="AU207" s="1" t="n">
        <v>46295</v>
      </c>
      <c r="AV207" s="0" t="s">
        <v>642</v>
      </c>
      <c r="AW207" s="0" t="s">
        <v>299</v>
      </c>
      <c r="AX207" s="0" t="s">
        <v>187</v>
      </c>
      <c r="AY207" s="0" t="s">
        <v>643</v>
      </c>
      <c r="AZ207" s="0" t="s">
        <v>644</v>
      </c>
      <c r="BA207" s="0" t="s">
        <v>368</v>
      </c>
      <c r="BB207" s="0" t="s">
        <v>299</v>
      </c>
      <c r="BC207" s="0" t="s">
        <v>645</v>
      </c>
      <c r="BI207" s="0" t="n">
        <v>3815000</v>
      </c>
      <c r="BJ207" s="0" t="n">
        <v>3815000</v>
      </c>
      <c r="BK207" s="0" t="s">
        <v>200</v>
      </c>
      <c r="BL207" s="0" t="s">
        <v>201</v>
      </c>
      <c r="BN207" s="0" t="n">
        <v>9.3</v>
      </c>
      <c r="BO207" s="0" t="n">
        <v>8.62</v>
      </c>
      <c r="BP207" s="0" t="s">
        <v>202</v>
      </c>
      <c r="BQ207" s="0" t="s">
        <v>187</v>
      </c>
      <c r="BR207" s="0" t="s">
        <v>203</v>
      </c>
      <c r="BS207" s="0" t="s">
        <v>646</v>
      </c>
      <c r="BT207" s="0" t="s">
        <v>216</v>
      </c>
      <c r="BU207" s="0" t="s">
        <v>205</v>
      </c>
      <c r="BW207" s="0" t="s">
        <v>206</v>
      </c>
      <c r="BX207" s="0" t="s">
        <v>217</v>
      </c>
      <c r="BY207" s="0" t="n">
        <v>215</v>
      </c>
      <c r="BZ207" s="0" t="n">
        <v>215</v>
      </c>
      <c r="CB207" s="0" t="s">
        <v>208</v>
      </c>
      <c r="CC207" s="0" t="s">
        <v>210</v>
      </c>
      <c r="CD207" s="0" t="s">
        <v>210</v>
      </c>
      <c r="CE207" s="0" t="s">
        <v>647</v>
      </c>
      <c r="CF207" s="0" t="s">
        <v>211</v>
      </c>
      <c r="CG207" s="0" t="s">
        <v>240</v>
      </c>
      <c r="CH207" s="1" t="n">
        <v>46112</v>
      </c>
      <c r="CI207" s="0" t="n">
        <v>1.2</v>
      </c>
      <c r="CJ207" s="0" t="n">
        <v>3.5</v>
      </c>
      <c r="CK207" s="0" t="n">
        <v>3.68</v>
      </c>
      <c r="CL207" s="0" t="s">
        <v>212</v>
      </c>
      <c r="DA207" s="0" t="n">
        <v>0.55</v>
      </c>
      <c r="DC207" s="0" t="n">
        <v>0.85</v>
      </c>
      <c r="DD207" s="0" t="s">
        <v>212</v>
      </c>
      <c r="ED207" s="0" t="s">
        <v>212</v>
      </c>
      <c r="EE207" s="0" t="n">
        <v>1.05</v>
      </c>
      <c r="EI207" s="0" t="n">
        <v>1.47</v>
      </c>
      <c r="FQ207" s="0" t="n">
        <v>19276087</v>
      </c>
    </row>
    <row r="208" customFormat="false" ht="15" hidden="false" customHeight="false" outlineLevel="0" collapsed="false">
      <c r="B208" s="0" t="str">
        <f aca="false">C208&amp;"x"&amp;I208</f>
        <v>61015x100246</v>
      </c>
      <c r="C208" s="0" t="n">
        <f aca="false">IF(G208="SINGLE",H208,G208)</f>
        <v>61015</v>
      </c>
      <c r="D208" s="0" t="e">
        <f aca="false">_xlfn.XLOOKUP(I208,calculations!$t:$t,calculations!$s:$s)</f>
        <v>#VALUE!</v>
      </c>
      <c r="E208" s="0" t="str">
        <f aca="false">_xlfn.XLOOKUP(I208,Mapping!$T:$T,Mapping!$Q:$Q)</f>
        <v>PRIS40</v>
      </c>
      <c r="F208" s="1" t="n">
        <v>46203</v>
      </c>
      <c r="G208" s="0" t="n">
        <v>61015</v>
      </c>
      <c r="H208" s="0" t="n">
        <v>61015</v>
      </c>
      <c r="I208" s="0" t="n">
        <v>100246</v>
      </c>
      <c r="J208" s="0" t="s">
        <v>648</v>
      </c>
      <c r="K208" s="0" t="s">
        <v>215</v>
      </c>
      <c r="L208" s="0" t="s">
        <v>215</v>
      </c>
      <c r="M208" s="0" t="s">
        <v>184</v>
      </c>
      <c r="N208" s="0" t="n">
        <v>976000</v>
      </c>
      <c r="O208" s="0" t="n">
        <v>976000</v>
      </c>
      <c r="P208" s="0" t="s">
        <v>185</v>
      </c>
      <c r="Q208" s="0" t="s">
        <v>227</v>
      </c>
      <c r="R208" s="0" t="s">
        <v>187</v>
      </c>
      <c r="S208" s="0" t="s">
        <v>649</v>
      </c>
      <c r="T208" s="0" t="s">
        <v>189</v>
      </c>
      <c r="U208" s="0" t="s">
        <v>367</v>
      </c>
      <c r="V208" s="0" t="s">
        <v>368</v>
      </c>
      <c r="W208" s="0" t="s">
        <v>347</v>
      </c>
      <c r="X208" s="0" t="s">
        <v>641</v>
      </c>
      <c r="Y208" s="0" t="n">
        <v>8.6</v>
      </c>
      <c r="Z208" s="0" t="s">
        <v>185</v>
      </c>
      <c r="AA208" s="0" t="n">
        <v>1</v>
      </c>
      <c r="AB208" s="0" t="s">
        <v>187</v>
      </c>
      <c r="AC208" s="0" t="n">
        <v>2543000</v>
      </c>
      <c r="AD208" s="0" t="n">
        <v>2543000</v>
      </c>
      <c r="AE208" s="0" t="n">
        <v>2543000</v>
      </c>
      <c r="AF208" s="0" t="n">
        <v>0.3838</v>
      </c>
      <c r="AG208" s="0" t="n">
        <v>976000</v>
      </c>
      <c r="AH208" s="0" t="n">
        <v>976000</v>
      </c>
      <c r="AI208" s="0" t="n">
        <v>1567000</v>
      </c>
      <c r="AJ208" s="0" t="n">
        <v>2543000</v>
      </c>
      <c r="AK208" s="0" t="n">
        <v>976000</v>
      </c>
      <c r="AL208" s="0" t="n">
        <v>976000</v>
      </c>
      <c r="AM208" s="0" t="s">
        <v>194</v>
      </c>
      <c r="AN208" s="0" t="n">
        <v>4.627</v>
      </c>
      <c r="AO208" s="0" t="n">
        <v>5.176</v>
      </c>
      <c r="AP208" s="0" t="n">
        <v>5.283</v>
      </c>
      <c r="AQ208" s="0" t="n">
        <v>100</v>
      </c>
      <c r="AR208" s="0" t="n">
        <v>100</v>
      </c>
      <c r="AS208" s="1" t="n">
        <v>43690</v>
      </c>
      <c r="AT208" s="1" t="n">
        <v>49353</v>
      </c>
      <c r="AU208" s="1" t="n">
        <v>46295</v>
      </c>
      <c r="AV208" s="0" t="s">
        <v>642</v>
      </c>
      <c r="AW208" s="0" t="s">
        <v>299</v>
      </c>
      <c r="AX208" s="0" t="s">
        <v>187</v>
      </c>
      <c r="AY208" s="0" t="s">
        <v>643</v>
      </c>
      <c r="AZ208" s="0" t="s">
        <v>644</v>
      </c>
      <c r="BA208" s="0" t="s">
        <v>368</v>
      </c>
      <c r="BB208" s="0" t="s">
        <v>299</v>
      </c>
      <c r="BC208" s="0" t="s">
        <v>645</v>
      </c>
      <c r="BI208" s="0" t="n">
        <v>2543000</v>
      </c>
      <c r="BJ208" s="0" t="n">
        <v>2543000</v>
      </c>
      <c r="BK208" s="0" t="s">
        <v>200</v>
      </c>
      <c r="BL208" s="0" t="s">
        <v>201</v>
      </c>
      <c r="BN208" s="0" t="n">
        <v>9.3</v>
      </c>
      <c r="BO208" s="0" t="n">
        <v>8.62</v>
      </c>
      <c r="BP208" s="0" t="s">
        <v>202</v>
      </c>
      <c r="BQ208" s="0" t="s">
        <v>187</v>
      </c>
      <c r="BR208" s="0" t="s">
        <v>203</v>
      </c>
      <c r="BS208" s="0" t="s">
        <v>650</v>
      </c>
      <c r="BT208" s="0" t="s">
        <v>216</v>
      </c>
      <c r="BU208" s="0" t="s">
        <v>224</v>
      </c>
      <c r="BW208" s="0" t="s">
        <v>257</v>
      </c>
      <c r="BX208" s="0" t="s">
        <v>217</v>
      </c>
      <c r="BY208" s="0" t="n">
        <v>215</v>
      </c>
      <c r="BZ208" s="0" t="n">
        <v>215</v>
      </c>
      <c r="CB208" s="0" t="s">
        <v>208</v>
      </c>
      <c r="CC208" s="0" t="s">
        <v>210</v>
      </c>
      <c r="CD208" s="0" t="s">
        <v>210</v>
      </c>
      <c r="CE208" s="0" t="s">
        <v>647</v>
      </c>
      <c r="CF208" s="0" t="s">
        <v>211</v>
      </c>
      <c r="CG208" s="0" t="s">
        <v>240</v>
      </c>
      <c r="CH208" s="1" t="n">
        <v>46112</v>
      </c>
      <c r="CI208" s="0" t="n">
        <v>1.2</v>
      </c>
      <c r="CJ208" s="0" t="n">
        <v>1.48</v>
      </c>
      <c r="CK208" s="0" t="n">
        <v>1.55</v>
      </c>
      <c r="CL208" s="0" t="s">
        <v>212</v>
      </c>
      <c r="DA208" s="0" t="n">
        <v>0.79</v>
      </c>
      <c r="DC208" s="0" t="n">
        <v>0.85</v>
      </c>
      <c r="DD208" s="0" t="s">
        <v>212</v>
      </c>
      <c r="ED208" s="0" t="s">
        <v>212</v>
      </c>
      <c r="EE208" s="0" t="n">
        <v>1.05</v>
      </c>
      <c r="EI208" s="0" t="n">
        <v>1.46</v>
      </c>
      <c r="FQ208" s="0" t="n">
        <v>19140934</v>
      </c>
    </row>
    <row r="209" customFormat="false" ht="15" hidden="false" customHeight="false" outlineLevel="0" collapsed="false">
      <c r="B209" s="0" t="str">
        <f aca="false">C209&amp;"x"&amp;I209</f>
        <v>61010x100245</v>
      </c>
      <c r="C209" s="0" t="n">
        <f aca="false">IF(G209="SINGLE",H209,G209)</f>
        <v>61010</v>
      </c>
      <c r="D209" s="0" t="e">
        <f aca="false">_xlfn.XLOOKUP(I209,calculations!$t:$t,calculations!$s:$s)</f>
        <v>#VALUE!</v>
      </c>
      <c r="E209" s="0" t="str">
        <f aca="false">_xlfn.XLOOKUP(I209,Mapping!$T:$T,Mapping!$Q:$Q)</f>
        <v>PRIS40</v>
      </c>
      <c r="F209" s="1" t="n">
        <v>46203</v>
      </c>
      <c r="G209" s="0" t="n">
        <v>61010</v>
      </c>
      <c r="H209" s="0" t="n">
        <v>61010</v>
      </c>
      <c r="I209" s="0" t="n">
        <v>100245</v>
      </c>
      <c r="J209" s="0" t="s">
        <v>639</v>
      </c>
      <c r="K209" s="0" t="s">
        <v>461</v>
      </c>
      <c r="L209" s="0" t="s">
        <v>461</v>
      </c>
      <c r="M209" s="0" t="s">
        <v>184</v>
      </c>
      <c r="N209" s="0" t="n">
        <v>5097000</v>
      </c>
      <c r="O209" s="0" t="n">
        <v>5097000</v>
      </c>
      <c r="P209" s="0" t="s">
        <v>185</v>
      </c>
      <c r="Q209" s="0" t="s">
        <v>227</v>
      </c>
      <c r="R209" s="0" t="s">
        <v>187</v>
      </c>
      <c r="S209" s="0" t="s">
        <v>640</v>
      </c>
      <c r="T209" s="0" t="s">
        <v>189</v>
      </c>
      <c r="U209" s="0" t="s">
        <v>367</v>
      </c>
      <c r="V209" s="0" t="s">
        <v>368</v>
      </c>
      <c r="W209" s="0" t="s">
        <v>347</v>
      </c>
      <c r="X209" s="0" t="s">
        <v>641</v>
      </c>
      <c r="Y209" s="0" t="n">
        <v>8.6</v>
      </c>
      <c r="Z209" s="0" t="s">
        <v>185</v>
      </c>
      <c r="AA209" s="0" t="n">
        <v>1</v>
      </c>
      <c r="AB209" s="0" t="s">
        <v>187</v>
      </c>
      <c r="AC209" s="0" t="n">
        <v>13277000</v>
      </c>
      <c r="AD209" s="0" t="n">
        <v>13277000</v>
      </c>
      <c r="AE209" s="0" t="n">
        <v>13277000</v>
      </c>
      <c r="AF209" s="0" t="n">
        <v>0.3839</v>
      </c>
      <c r="AG209" s="0" t="n">
        <v>5097000</v>
      </c>
      <c r="AH209" s="0" t="n">
        <v>5097000</v>
      </c>
      <c r="AI209" s="0" t="n">
        <v>8180000</v>
      </c>
      <c r="AJ209" s="0" t="n">
        <v>13277000</v>
      </c>
      <c r="AK209" s="0" t="n">
        <v>5097000</v>
      </c>
      <c r="AL209" s="0" t="n">
        <v>5097000</v>
      </c>
      <c r="AM209" s="0" t="s">
        <v>194</v>
      </c>
      <c r="AN209" s="0" t="n">
        <v>4.096</v>
      </c>
      <c r="AO209" s="0" t="n">
        <v>3.882</v>
      </c>
      <c r="AP209" s="0" t="n">
        <v>6.495</v>
      </c>
      <c r="AQ209" s="0" t="n">
        <v>100</v>
      </c>
      <c r="AR209" s="0" t="n">
        <v>100</v>
      </c>
      <c r="AS209" s="1" t="n">
        <v>43690</v>
      </c>
      <c r="AT209" s="1" t="n">
        <v>49353</v>
      </c>
      <c r="AU209" s="1" t="n">
        <v>46295</v>
      </c>
      <c r="AV209" s="0" t="s">
        <v>642</v>
      </c>
      <c r="AW209" s="0" t="s">
        <v>299</v>
      </c>
      <c r="AX209" s="0" t="s">
        <v>187</v>
      </c>
      <c r="AY209" s="0" t="s">
        <v>643</v>
      </c>
      <c r="AZ209" s="0" t="s">
        <v>644</v>
      </c>
      <c r="BA209" s="0" t="s">
        <v>368</v>
      </c>
      <c r="BB209" s="0" t="s">
        <v>299</v>
      </c>
      <c r="BC209" s="0" t="s">
        <v>645</v>
      </c>
      <c r="BI209" s="0" t="n">
        <v>13277000</v>
      </c>
      <c r="BJ209" s="0" t="n">
        <v>13277000</v>
      </c>
      <c r="BK209" s="0" t="s">
        <v>200</v>
      </c>
      <c r="BL209" s="0" t="s">
        <v>201</v>
      </c>
      <c r="BN209" s="0" t="n">
        <v>9.3</v>
      </c>
      <c r="BO209" s="0" t="n">
        <v>8.62</v>
      </c>
      <c r="BP209" s="0" t="s">
        <v>202</v>
      </c>
      <c r="BQ209" s="0" t="s">
        <v>187</v>
      </c>
      <c r="BR209" s="0" t="s">
        <v>203</v>
      </c>
      <c r="BS209" s="0" t="s">
        <v>646</v>
      </c>
      <c r="BT209" s="0" t="s">
        <v>216</v>
      </c>
      <c r="BU209" s="0" t="s">
        <v>269</v>
      </c>
      <c r="BW209" s="0" t="s">
        <v>206</v>
      </c>
      <c r="BX209" s="0" t="s">
        <v>207</v>
      </c>
      <c r="BY209" s="0" t="n">
        <v>215</v>
      </c>
      <c r="BZ209" s="0" t="n">
        <v>215</v>
      </c>
      <c r="CB209" s="0" t="s">
        <v>208</v>
      </c>
      <c r="CC209" s="0" t="s">
        <v>210</v>
      </c>
      <c r="CD209" s="0" t="s">
        <v>210</v>
      </c>
      <c r="CE209" s="0" t="s">
        <v>647</v>
      </c>
      <c r="CF209" s="0" t="s">
        <v>211</v>
      </c>
      <c r="CG209" s="0" t="s">
        <v>240</v>
      </c>
      <c r="CH209" s="1" t="n">
        <v>46112</v>
      </c>
      <c r="CI209" s="0" t="n">
        <v>1.2</v>
      </c>
      <c r="CJ209" s="0" t="n">
        <v>3.47</v>
      </c>
      <c r="CK209" s="0" t="n">
        <v>3.64</v>
      </c>
      <c r="CL209" s="0" t="s">
        <v>212</v>
      </c>
      <c r="DA209" s="0" t="n">
        <v>0.57</v>
      </c>
      <c r="DC209" s="0" t="n">
        <v>0.85</v>
      </c>
      <c r="DD209" s="0" t="s">
        <v>212</v>
      </c>
      <c r="ED209" s="0" t="s">
        <v>212</v>
      </c>
      <c r="EE209" s="0" t="n">
        <v>1.05</v>
      </c>
      <c r="EI209" s="0" t="n">
        <v>1.66</v>
      </c>
      <c r="FQ209" s="0" t="n">
        <v>13990730</v>
      </c>
    </row>
    <row r="210" customFormat="false" ht="15" hidden="false" customHeight="false" outlineLevel="0" collapsed="false">
      <c r="B210" s="0" t="str">
        <f aca="false">C210&amp;"x"&amp;I210</f>
        <v>61010x100246</v>
      </c>
      <c r="C210" s="0" t="n">
        <f aca="false">IF(G210="SINGLE",H210,G210)</f>
        <v>61010</v>
      </c>
      <c r="D210" s="0" t="e">
        <f aca="false">_xlfn.XLOOKUP(I210,calculations!$t:$t,calculations!$s:$s)</f>
        <v>#VALUE!</v>
      </c>
      <c r="E210" s="0" t="str">
        <f aca="false">_xlfn.XLOOKUP(I210,Mapping!$T:$T,Mapping!$Q:$Q)</f>
        <v>PRIS40</v>
      </c>
      <c r="F210" s="1" t="n">
        <v>46203</v>
      </c>
      <c r="G210" s="0" t="n">
        <v>61010</v>
      </c>
      <c r="H210" s="0" t="n">
        <v>61010</v>
      </c>
      <c r="I210" s="0" t="n">
        <v>100246</v>
      </c>
      <c r="J210" s="0" t="s">
        <v>648</v>
      </c>
      <c r="K210" s="0" t="s">
        <v>461</v>
      </c>
      <c r="L210" s="0" t="s">
        <v>461</v>
      </c>
      <c r="M210" s="0" t="s">
        <v>184</v>
      </c>
      <c r="N210" s="0" t="n">
        <v>3398000</v>
      </c>
      <c r="O210" s="0" t="n">
        <v>3398000</v>
      </c>
      <c r="P210" s="0" t="s">
        <v>185</v>
      </c>
      <c r="Q210" s="0" t="s">
        <v>227</v>
      </c>
      <c r="R210" s="0" t="s">
        <v>187</v>
      </c>
      <c r="S210" s="0" t="s">
        <v>649</v>
      </c>
      <c r="T210" s="0" t="s">
        <v>189</v>
      </c>
      <c r="U210" s="0" t="s">
        <v>367</v>
      </c>
      <c r="V210" s="0" t="s">
        <v>368</v>
      </c>
      <c r="W210" s="0" t="s">
        <v>347</v>
      </c>
      <c r="X210" s="0" t="s">
        <v>641</v>
      </c>
      <c r="Y210" s="0" t="n">
        <v>8.6</v>
      </c>
      <c r="Z210" s="0" t="s">
        <v>185</v>
      </c>
      <c r="AA210" s="0" t="n">
        <v>1</v>
      </c>
      <c r="AB210" s="0" t="s">
        <v>187</v>
      </c>
      <c r="AC210" s="0" t="n">
        <v>8851000</v>
      </c>
      <c r="AD210" s="0" t="n">
        <v>8851000</v>
      </c>
      <c r="AE210" s="0" t="n">
        <v>8851000</v>
      </c>
      <c r="AF210" s="0" t="n">
        <v>0.3839</v>
      </c>
      <c r="AG210" s="0" t="n">
        <v>3398000</v>
      </c>
      <c r="AH210" s="0" t="n">
        <v>3398000</v>
      </c>
      <c r="AI210" s="0" t="n">
        <v>5453000</v>
      </c>
      <c r="AJ210" s="0" t="n">
        <v>8851000</v>
      </c>
      <c r="AK210" s="0" t="n">
        <v>3398000</v>
      </c>
      <c r="AL210" s="0" t="n">
        <v>3398000</v>
      </c>
      <c r="AM210" s="0" t="s">
        <v>194</v>
      </c>
      <c r="AN210" s="0" t="n">
        <v>5.914</v>
      </c>
      <c r="AO210" s="0" t="n">
        <v>5.535</v>
      </c>
      <c r="AP210" s="0" t="n">
        <v>4.787</v>
      </c>
      <c r="AQ210" s="0" t="n">
        <v>100</v>
      </c>
      <c r="AR210" s="0" t="n">
        <v>100</v>
      </c>
      <c r="AS210" s="1" t="n">
        <v>43690</v>
      </c>
      <c r="AT210" s="1" t="n">
        <v>49353</v>
      </c>
      <c r="AU210" s="1" t="n">
        <v>46295</v>
      </c>
      <c r="AV210" s="0" t="s">
        <v>642</v>
      </c>
      <c r="AW210" s="0" t="s">
        <v>299</v>
      </c>
      <c r="AX210" s="0" t="s">
        <v>187</v>
      </c>
      <c r="AY210" s="0" t="s">
        <v>643</v>
      </c>
      <c r="AZ210" s="0" t="s">
        <v>644</v>
      </c>
      <c r="BA210" s="0" t="s">
        <v>368</v>
      </c>
      <c r="BB210" s="0" t="s">
        <v>299</v>
      </c>
      <c r="BC210" s="0" t="s">
        <v>645</v>
      </c>
      <c r="BI210" s="0" t="n">
        <v>8851000</v>
      </c>
      <c r="BJ210" s="0" t="n">
        <v>8851000</v>
      </c>
      <c r="BK210" s="0" t="s">
        <v>200</v>
      </c>
      <c r="BL210" s="0" t="s">
        <v>201</v>
      </c>
      <c r="BN210" s="0" t="n">
        <v>9.3</v>
      </c>
      <c r="BO210" s="0" t="n">
        <v>8.62</v>
      </c>
      <c r="BP210" s="0" t="s">
        <v>202</v>
      </c>
      <c r="BQ210" s="0" t="s">
        <v>187</v>
      </c>
      <c r="BR210" s="0" t="s">
        <v>203</v>
      </c>
      <c r="BS210" s="0" t="s">
        <v>650</v>
      </c>
      <c r="BT210" s="0" t="s">
        <v>216</v>
      </c>
      <c r="BU210" s="0" t="s">
        <v>255</v>
      </c>
      <c r="BW210" s="0" t="s">
        <v>206</v>
      </c>
      <c r="BX210" s="0" t="s">
        <v>217</v>
      </c>
      <c r="BY210" s="0" t="n">
        <v>215</v>
      </c>
      <c r="BZ210" s="0" t="n">
        <v>215</v>
      </c>
      <c r="CB210" s="0" t="s">
        <v>208</v>
      </c>
      <c r="CC210" s="0" t="s">
        <v>210</v>
      </c>
      <c r="CD210" s="0" t="s">
        <v>210</v>
      </c>
      <c r="CE210" s="0" t="s">
        <v>647</v>
      </c>
      <c r="CF210" s="0" t="s">
        <v>211</v>
      </c>
      <c r="CG210" s="0" t="s">
        <v>240</v>
      </c>
      <c r="CH210" s="1" t="n">
        <v>46112</v>
      </c>
      <c r="CI210" s="0" t="n">
        <v>1.2</v>
      </c>
      <c r="CJ210" s="0" t="n">
        <v>1.23</v>
      </c>
      <c r="CK210" s="0" t="n">
        <v>1.29</v>
      </c>
      <c r="CL210" s="0" t="s">
        <v>213</v>
      </c>
      <c r="DA210" s="0" t="n">
        <v>0.63</v>
      </c>
      <c r="DC210" s="0" t="n">
        <v>0.85</v>
      </c>
      <c r="DD210" s="0" t="s">
        <v>212</v>
      </c>
      <c r="ED210" s="0" t="s">
        <v>212</v>
      </c>
      <c r="EE210" s="0" t="n">
        <v>1.05</v>
      </c>
      <c r="EI210" s="0" t="n">
        <v>1.67</v>
      </c>
      <c r="FQ210" s="0" t="n">
        <v>19260516</v>
      </c>
    </row>
    <row r="211" customFormat="false" ht="15" hidden="false" customHeight="false" outlineLevel="0" collapsed="false">
      <c r="B211" s="0" t="str">
        <f aca="false">C211&amp;"x"&amp;I211</f>
        <v>61026x100245</v>
      </c>
      <c r="C211" s="0" t="n">
        <f aca="false">IF(G211="SINGLE",H211,G211)</f>
        <v>61026</v>
      </c>
      <c r="D211" s="0" t="e">
        <f aca="false">_xlfn.XLOOKUP(I211,calculations!$t:$t,calculations!$s:$s)</f>
        <v>#VALUE!</v>
      </c>
      <c r="E211" s="0" t="str">
        <f aca="false">_xlfn.XLOOKUP(I211,Mapping!$T:$T,Mapping!$Q:$Q)</f>
        <v>PRIS40</v>
      </c>
      <c r="F211" s="1" t="n">
        <v>46203</v>
      </c>
      <c r="G211" s="0" t="n">
        <v>61026</v>
      </c>
      <c r="H211" s="0" t="n">
        <v>61026</v>
      </c>
      <c r="I211" s="0" t="n">
        <v>100245</v>
      </c>
      <c r="J211" s="0" t="s">
        <v>639</v>
      </c>
      <c r="K211" s="0" t="s">
        <v>398</v>
      </c>
      <c r="L211" s="0" t="s">
        <v>398</v>
      </c>
      <c r="M211" s="0" t="s">
        <v>184</v>
      </c>
      <c r="N211" s="0" t="n">
        <v>3284000</v>
      </c>
      <c r="O211" s="0" t="n">
        <v>3284000</v>
      </c>
      <c r="P211" s="0" t="s">
        <v>185</v>
      </c>
      <c r="Q211" s="0" t="s">
        <v>227</v>
      </c>
      <c r="R211" s="0" t="s">
        <v>187</v>
      </c>
      <c r="S211" s="0" t="s">
        <v>640</v>
      </c>
      <c r="T211" s="0" t="s">
        <v>189</v>
      </c>
      <c r="U211" s="0" t="s">
        <v>367</v>
      </c>
      <c r="V211" s="0" t="s">
        <v>368</v>
      </c>
      <c r="W211" s="0" t="s">
        <v>347</v>
      </c>
      <c r="X211" s="0" t="s">
        <v>641</v>
      </c>
      <c r="Y211" s="0" t="n">
        <v>8.6</v>
      </c>
      <c r="Z211" s="0" t="s">
        <v>185</v>
      </c>
      <c r="AA211" s="0" t="n">
        <v>1</v>
      </c>
      <c r="AB211" s="0" t="s">
        <v>187</v>
      </c>
      <c r="AC211" s="0" t="n">
        <v>8556000</v>
      </c>
      <c r="AD211" s="0" t="n">
        <v>8556000</v>
      </c>
      <c r="AE211" s="0" t="n">
        <v>8556000</v>
      </c>
      <c r="AF211" s="0" t="n">
        <v>0.3838</v>
      </c>
      <c r="AG211" s="0" t="n">
        <v>3284000</v>
      </c>
      <c r="AH211" s="0" t="n">
        <v>3284000</v>
      </c>
      <c r="AI211" s="0" t="n">
        <v>5272000</v>
      </c>
      <c r="AJ211" s="0" t="n">
        <v>8556000</v>
      </c>
      <c r="AK211" s="0" t="n">
        <v>3284000</v>
      </c>
      <c r="AL211" s="0" t="n">
        <v>3284000</v>
      </c>
      <c r="AM211" s="0" t="s">
        <v>194</v>
      </c>
      <c r="AN211" s="0" t="n">
        <v>4.456</v>
      </c>
      <c r="AO211" s="0" t="n">
        <v>6.406</v>
      </c>
      <c r="AP211" s="0" t="n">
        <v>2.525</v>
      </c>
      <c r="AQ211" s="0" t="n">
        <v>100</v>
      </c>
      <c r="AR211" s="0" t="n">
        <v>100</v>
      </c>
      <c r="AS211" s="1" t="n">
        <v>43690</v>
      </c>
      <c r="AT211" s="1" t="n">
        <v>49353</v>
      </c>
      <c r="AU211" s="1" t="n">
        <v>46295</v>
      </c>
      <c r="AV211" s="0" t="s">
        <v>642</v>
      </c>
      <c r="AW211" s="0" t="s">
        <v>299</v>
      </c>
      <c r="AX211" s="0" t="s">
        <v>187</v>
      </c>
      <c r="AY211" s="0" t="s">
        <v>643</v>
      </c>
      <c r="AZ211" s="0" t="s">
        <v>644</v>
      </c>
      <c r="BA211" s="0" t="s">
        <v>368</v>
      </c>
      <c r="BB211" s="0" t="s">
        <v>299</v>
      </c>
      <c r="BC211" s="0" t="s">
        <v>645</v>
      </c>
      <c r="BI211" s="0" t="n">
        <v>8556000</v>
      </c>
      <c r="BJ211" s="0" t="n">
        <v>8556000</v>
      </c>
      <c r="BK211" s="0" t="s">
        <v>200</v>
      </c>
      <c r="BL211" s="0" t="s">
        <v>201</v>
      </c>
      <c r="BN211" s="0" t="n">
        <v>9.3</v>
      </c>
      <c r="BO211" s="0" t="n">
        <v>8.62</v>
      </c>
      <c r="BP211" s="0" t="s">
        <v>202</v>
      </c>
      <c r="BQ211" s="0" t="s">
        <v>187</v>
      </c>
      <c r="BR211" s="0" t="s">
        <v>203</v>
      </c>
      <c r="BS211" s="0" t="s">
        <v>646</v>
      </c>
      <c r="BT211" s="0" t="s">
        <v>216</v>
      </c>
      <c r="BU211" s="0" t="s">
        <v>224</v>
      </c>
      <c r="BW211" s="0" t="s">
        <v>257</v>
      </c>
      <c r="BX211" s="0" t="s">
        <v>217</v>
      </c>
      <c r="BY211" s="0" t="n">
        <v>215</v>
      </c>
      <c r="BZ211" s="0" t="n">
        <v>215</v>
      </c>
      <c r="CB211" s="0" t="s">
        <v>208</v>
      </c>
      <c r="CC211" s="0" t="s">
        <v>210</v>
      </c>
      <c r="CD211" s="0" t="s">
        <v>210</v>
      </c>
      <c r="CE211" s="0" t="s">
        <v>647</v>
      </c>
      <c r="CF211" s="0" t="s">
        <v>211</v>
      </c>
      <c r="CG211" s="0" t="s">
        <v>240</v>
      </c>
      <c r="CH211" s="1" t="n">
        <v>46112</v>
      </c>
      <c r="CI211" s="0" t="n">
        <v>1.2</v>
      </c>
      <c r="CJ211" s="0" t="n">
        <v>2.77</v>
      </c>
      <c r="CK211" s="0" t="n">
        <v>2.91</v>
      </c>
      <c r="CL211" s="0" t="s">
        <v>212</v>
      </c>
      <c r="DA211" s="0" t="n">
        <v>0.49</v>
      </c>
      <c r="DC211" s="0" t="n">
        <v>0.85</v>
      </c>
      <c r="DD211" s="0" t="s">
        <v>212</v>
      </c>
      <c r="ED211" s="0" t="s">
        <v>212</v>
      </c>
      <c r="EE211" s="0" t="n">
        <v>1.05</v>
      </c>
      <c r="EI211" s="0" t="n">
        <v>1.74</v>
      </c>
      <c r="FQ211" s="0" t="n">
        <v>19859051</v>
      </c>
    </row>
    <row r="212" customFormat="false" ht="15" hidden="false" customHeight="false" outlineLevel="0" collapsed="false">
      <c r="B212" s="0" t="str">
        <f aca="false">C212&amp;"x"&amp;I212</f>
        <v>61026x100246</v>
      </c>
      <c r="C212" s="0" t="n">
        <f aca="false">IF(G212="SINGLE",H212,G212)</f>
        <v>61026</v>
      </c>
      <c r="D212" s="0" t="e">
        <f aca="false">_xlfn.XLOOKUP(I212,calculations!$t:$t,calculations!$s:$s)</f>
        <v>#VALUE!</v>
      </c>
      <c r="E212" s="0" t="str">
        <f aca="false">_xlfn.XLOOKUP(I212,Mapping!$T:$T,Mapping!$Q:$Q)</f>
        <v>PRIS40</v>
      </c>
      <c r="F212" s="1" t="n">
        <v>46203</v>
      </c>
      <c r="G212" s="0" t="n">
        <v>61026</v>
      </c>
      <c r="H212" s="0" t="n">
        <v>61026</v>
      </c>
      <c r="I212" s="0" t="n">
        <v>100246</v>
      </c>
      <c r="J212" s="0" t="s">
        <v>648</v>
      </c>
      <c r="K212" s="0" t="s">
        <v>398</v>
      </c>
      <c r="L212" s="0" t="s">
        <v>398</v>
      </c>
      <c r="M212" s="0" t="s">
        <v>184</v>
      </c>
      <c r="N212" s="0" t="n">
        <v>2190000</v>
      </c>
      <c r="O212" s="0" t="n">
        <v>2190000</v>
      </c>
      <c r="P212" s="0" t="s">
        <v>185</v>
      </c>
      <c r="Q212" s="0" t="s">
        <v>227</v>
      </c>
      <c r="R212" s="0" t="s">
        <v>187</v>
      </c>
      <c r="S212" s="0" t="s">
        <v>649</v>
      </c>
      <c r="T212" s="0" t="s">
        <v>189</v>
      </c>
      <c r="U212" s="0" t="s">
        <v>367</v>
      </c>
      <c r="V212" s="0" t="s">
        <v>368</v>
      </c>
      <c r="W212" s="0" t="s">
        <v>347</v>
      </c>
      <c r="X212" s="0" t="s">
        <v>641</v>
      </c>
      <c r="Y212" s="0" t="n">
        <v>8.6</v>
      </c>
      <c r="Z212" s="0" t="s">
        <v>185</v>
      </c>
      <c r="AA212" s="0" t="n">
        <v>1</v>
      </c>
      <c r="AB212" s="0" t="s">
        <v>187</v>
      </c>
      <c r="AC212" s="0" t="n">
        <v>5704000</v>
      </c>
      <c r="AD212" s="0" t="n">
        <v>5704000</v>
      </c>
      <c r="AE212" s="0" t="n">
        <v>5704000</v>
      </c>
      <c r="AF212" s="0" t="n">
        <v>0.3839</v>
      </c>
      <c r="AG212" s="0" t="n">
        <v>2190000</v>
      </c>
      <c r="AH212" s="0" t="n">
        <v>2190000</v>
      </c>
      <c r="AI212" s="0" t="n">
        <v>3514000</v>
      </c>
      <c r="AJ212" s="0" t="n">
        <v>5704000</v>
      </c>
      <c r="AK212" s="0" t="n">
        <v>2190000</v>
      </c>
      <c r="AL212" s="0" t="n">
        <v>2190000</v>
      </c>
      <c r="AM212" s="0" t="s">
        <v>194</v>
      </c>
      <c r="AN212" s="0" t="n">
        <v>4.567</v>
      </c>
      <c r="AO212" s="0" t="n">
        <v>3.5</v>
      </c>
      <c r="AP212" s="0" t="n">
        <v>5.703</v>
      </c>
      <c r="AQ212" s="0" t="n">
        <v>100</v>
      </c>
      <c r="AR212" s="0" t="n">
        <v>100</v>
      </c>
      <c r="AS212" s="1" t="n">
        <v>43690</v>
      </c>
      <c r="AT212" s="1" t="n">
        <v>49353</v>
      </c>
      <c r="AU212" s="1" t="n">
        <v>46295</v>
      </c>
      <c r="AV212" s="0" t="s">
        <v>642</v>
      </c>
      <c r="AW212" s="0" t="s">
        <v>299</v>
      </c>
      <c r="AX212" s="0" t="s">
        <v>187</v>
      </c>
      <c r="AY212" s="0" t="s">
        <v>643</v>
      </c>
      <c r="AZ212" s="0" t="s">
        <v>644</v>
      </c>
      <c r="BA212" s="0" t="s">
        <v>368</v>
      </c>
      <c r="BB212" s="0" t="s">
        <v>299</v>
      </c>
      <c r="BC212" s="0" t="s">
        <v>645</v>
      </c>
      <c r="BI212" s="0" t="n">
        <v>5704000</v>
      </c>
      <c r="BJ212" s="0" t="n">
        <v>5704000</v>
      </c>
      <c r="BK212" s="0" t="s">
        <v>200</v>
      </c>
      <c r="BL212" s="0" t="s">
        <v>201</v>
      </c>
      <c r="BN212" s="0" t="n">
        <v>9.3</v>
      </c>
      <c r="BO212" s="0" t="n">
        <v>8.62</v>
      </c>
      <c r="BP212" s="0" t="s">
        <v>202</v>
      </c>
      <c r="BQ212" s="0" t="s">
        <v>187</v>
      </c>
      <c r="BR212" s="0" t="s">
        <v>203</v>
      </c>
      <c r="BS212" s="0" t="s">
        <v>650</v>
      </c>
      <c r="BT212" s="0" t="s">
        <v>216</v>
      </c>
      <c r="BU212" s="0" t="s">
        <v>205</v>
      </c>
      <c r="BW212" s="0" t="s">
        <v>257</v>
      </c>
      <c r="BX212" s="0" t="s">
        <v>207</v>
      </c>
      <c r="BY212" s="0" t="n">
        <v>215</v>
      </c>
      <c r="BZ212" s="0" t="n">
        <v>215</v>
      </c>
      <c r="CB212" s="0" t="s">
        <v>208</v>
      </c>
      <c r="CC212" s="0" t="s">
        <v>210</v>
      </c>
      <c r="CD212" s="0" t="s">
        <v>210</v>
      </c>
      <c r="CE212" s="0" t="s">
        <v>647</v>
      </c>
      <c r="CF212" s="0" t="s">
        <v>211</v>
      </c>
      <c r="CG212" s="0" t="s">
        <v>240</v>
      </c>
      <c r="CH212" s="1" t="n">
        <v>46112</v>
      </c>
      <c r="CI212" s="0" t="n">
        <v>1.2</v>
      </c>
      <c r="CJ212" s="0" t="n">
        <v>3.44</v>
      </c>
      <c r="CK212" s="0" t="n">
        <v>3.61</v>
      </c>
      <c r="CL212" s="0" t="s">
        <v>212</v>
      </c>
      <c r="DA212" s="0" t="n">
        <v>0.81</v>
      </c>
      <c r="DC212" s="0" t="n">
        <v>0.85</v>
      </c>
      <c r="DD212" s="0" t="s">
        <v>213</v>
      </c>
      <c r="ED212" s="0" t="s">
        <v>212</v>
      </c>
      <c r="EE212" s="0" t="n">
        <v>1.05</v>
      </c>
      <c r="EI212" s="0" t="n">
        <v>1.37</v>
      </c>
      <c r="FQ212" s="0" t="n">
        <v>21850466</v>
      </c>
    </row>
    <row r="213" customFormat="false" ht="15" hidden="false" customHeight="false" outlineLevel="0" collapsed="false">
      <c r="B213" s="0" t="str">
        <f aca="false">C213&amp;"x"&amp;I213</f>
        <v>61021x100247</v>
      </c>
      <c r="C213" s="0" t="n">
        <f aca="false">IF(G213="SINGLE",H213,G213)</f>
        <v>61021</v>
      </c>
      <c r="D213" s="0" t="e">
        <f aca="false">_xlfn.XLOOKUP(I213,calculations!$t:$t,calculations!$s:$s)</f>
        <v>#VALUE!</v>
      </c>
      <c r="E213" s="0" t="str">
        <f aca="false">_xlfn.XLOOKUP(I213,Mapping!$T:$T,Mapping!$Q:$Q)</f>
        <v>QUIL41</v>
      </c>
      <c r="F213" s="1" t="n">
        <v>46203</v>
      </c>
      <c r="G213" s="0" t="n">
        <v>61021</v>
      </c>
      <c r="H213" s="0" t="n">
        <v>61021</v>
      </c>
      <c r="I213" s="0" t="n">
        <v>100247</v>
      </c>
      <c r="J213" s="0" t="s">
        <v>651</v>
      </c>
      <c r="K213" s="0" t="s">
        <v>214</v>
      </c>
      <c r="L213" s="0" t="s">
        <v>214</v>
      </c>
      <c r="M213" s="0" t="s">
        <v>184</v>
      </c>
      <c r="N213" s="0" t="n">
        <v>15981000</v>
      </c>
      <c r="O213" s="0" t="n">
        <v>15981000</v>
      </c>
      <c r="P213" s="0" t="s">
        <v>185</v>
      </c>
      <c r="Q213" s="0" t="s">
        <v>227</v>
      </c>
      <c r="R213" s="0" t="s">
        <v>202</v>
      </c>
      <c r="S213" s="0" t="s">
        <v>652</v>
      </c>
      <c r="T213" s="0" t="s">
        <v>189</v>
      </c>
      <c r="U213" s="0" t="s">
        <v>453</v>
      </c>
      <c r="V213" s="0" t="s">
        <v>454</v>
      </c>
      <c r="W213" s="0" t="s">
        <v>544</v>
      </c>
      <c r="X213" s="0" t="s">
        <v>653</v>
      </c>
      <c r="Y213" s="0" t="n">
        <v>7</v>
      </c>
      <c r="Z213" s="0" t="s">
        <v>185</v>
      </c>
      <c r="AA213" s="0" t="n">
        <v>1</v>
      </c>
      <c r="AB213" s="0" t="s">
        <v>187</v>
      </c>
      <c r="AC213" s="0" t="n">
        <v>16157000</v>
      </c>
      <c r="AD213" s="0" t="n">
        <v>16157000</v>
      </c>
      <c r="AE213" s="0" t="n">
        <v>16157000</v>
      </c>
      <c r="AF213" s="0" t="n">
        <v>0.9891</v>
      </c>
      <c r="AG213" s="0" t="n">
        <v>15981000</v>
      </c>
      <c r="AH213" s="0" t="n">
        <v>15981000</v>
      </c>
      <c r="AI213" s="0" t="n">
        <v>176000</v>
      </c>
      <c r="AJ213" s="0" t="n">
        <v>16157000</v>
      </c>
      <c r="AK213" s="0" t="n">
        <v>15981000</v>
      </c>
      <c r="AL213" s="0" t="n">
        <v>15981000</v>
      </c>
      <c r="AM213" s="0" t="s">
        <v>194</v>
      </c>
      <c r="AN213" s="0" t="n">
        <v>3.659</v>
      </c>
      <c r="AO213" s="0" t="n">
        <v>6.365</v>
      </c>
      <c r="AP213" s="0" t="n">
        <v>6.431</v>
      </c>
      <c r="AQ213" s="0" t="n">
        <v>100</v>
      </c>
      <c r="AR213" s="0" t="n">
        <v>100</v>
      </c>
      <c r="AS213" s="1" t="n">
        <v>44282</v>
      </c>
      <c r="AT213" s="1" t="n">
        <v>49945</v>
      </c>
      <c r="AU213" s="1" t="n">
        <v>46295</v>
      </c>
      <c r="AV213" s="0" t="s">
        <v>654</v>
      </c>
      <c r="AW213" s="0" t="s">
        <v>234</v>
      </c>
      <c r="AX213" s="0" t="s">
        <v>187</v>
      </c>
      <c r="AY213" s="0" t="s">
        <v>655</v>
      </c>
      <c r="AZ213" s="0" t="s">
        <v>656</v>
      </c>
      <c r="BA213" s="0" t="s">
        <v>454</v>
      </c>
      <c r="BB213" s="0" t="s">
        <v>234</v>
      </c>
      <c r="BC213" s="0" t="s">
        <v>657</v>
      </c>
      <c r="BI213" s="0" t="n">
        <v>16157000</v>
      </c>
      <c r="BJ213" s="0" t="n">
        <v>16157000</v>
      </c>
      <c r="BK213" s="0" t="s">
        <v>200</v>
      </c>
      <c r="BL213" s="0" t="s">
        <v>201</v>
      </c>
      <c r="BN213" s="0" t="n">
        <v>9.3</v>
      </c>
      <c r="BO213" s="0" t="n">
        <v>10.25</v>
      </c>
      <c r="BP213" s="0" t="s">
        <v>202</v>
      </c>
      <c r="BQ213" s="0" t="s">
        <v>202</v>
      </c>
      <c r="BR213" s="0" t="s">
        <v>203</v>
      </c>
      <c r="BS213" s="0" t="s">
        <v>658</v>
      </c>
      <c r="BT213" s="0" t="s">
        <v>205</v>
      </c>
      <c r="BU213" s="0" t="s">
        <v>269</v>
      </c>
      <c r="BW213" s="0" t="s">
        <v>206</v>
      </c>
      <c r="BX213" s="0" t="s">
        <v>207</v>
      </c>
      <c r="BY213" s="0" t="n">
        <v>275</v>
      </c>
      <c r="BZ213" s="0" t="n">
        <v>275</v>
      </c>
      <c r="CB213" s="0" t="s">
        <v>208</v>
      </c>
      <c r="CC213" s="0" t="s">
        <v>209</v>
      </c>
      <c r="CD213" s="0" t="s">
        <v>209</v>
      </c>
      <c r="CE213" s="0" t="s">
        <v>239</v>
      </c>
      <c r="CF213" s="0" t="s">
        <v>211</v>
      </c>
      <c r="CG213" s="0" t="s">
        <v>211</v>
      </c>
      <c r="CH213" s="1" t="n">
        <v>46112</v>
      </c>
      <c r="CI213" s="0" t="n">
        <v>1.2</v>
      </c>
      <c r="CJ213" s="0" t="n">
        <v>1.39</v>
      </c>
      <c r="CK213" s="0" t="n">
        <v>1.46</v>
      </c>
      <c r="CL213" s="0" t="s">
        <v>212</v>
      </c>
      <c r="DA213" s="0" t="n">
        <v>0.67</v>
      </c>
      <c r="DC213" s="0" t="n">
        <v>0.85</v>
      </c>
      <c r="DD213" s="0" t="s">
        <v>212</v>
      </c>
      <c r="ED213" s="0" t="s">
        <v>212</v>
      </c>
      <c r="EE213" s="0" t="n">
        <v>1.05</v>
      </c>
      <c r="EI213" s="0" t="n">
        <v>1.74</v>
      </c>
      <c r="FQ213" s="0" t="n">
        <v>19934894</v>
      </c>
    </row>
    <row r="214" customFormat="false" ht="15" hidden="false" customHeight="false" outlineLevel="0" collapsed="false">
      <c r="B214" s="0" t="str">
        <f aca="false">C214&amp;"x"&amp;I214</f>
        <v>61010x100247</v>
      </c>
      <c r="C214" s="0" t="n">
        <f aca="false">IF(G214="SINGLE",H214,G214)</f>
        <v>61010</v>
      </c>
      <c r="D214" s="0" t="e">
        <f aca="false">_xlfn.XLOOKUP(I214,calculations!$t:$t,calculations!$s:$s)</f>
        <v>#VALUE!</v>
      </c>
      <c r="E214" s="0" t="str">
        <f aca="false">_xlfn.XLOOKUP(I214,Mapping!$T:$T,Mapping!$Q:$Q)</f>
        <v>QUIL41</v>
      </c>
      <c r="F214" s="1" t="n">
        <v>46203</v>
      </c>
      <c r="G214" s="0" t="n">
        <v>61010</v>
      </c>
      <c r="H214" s="0" t="n">
        <v>61010</v>
      </c>
      <c r="I214" s="0" t="n">
        <v>100247</v>
      </c>
      <c r="J214" s="0" t="s">
        <v>651</v>
      </c>
      <c r="K214" s="0" t="s">
        <v>461</v>
      </c>
      <c r="L214" s="0" t="s">
        <v>461</v>
      </c>
      <c r="M214" s="0" t="s">
        <v>184</v>
      </c>
      <c r="N214" s="0" t="n">
        <v>8589000</v>
      </c>
      <c r="O214" s="0" t="n">
        <v>8589000</v>
      </c>
      <c r="P214" s="0" t="s">
        <v>185</v>
      </c>
      <c r="Q214" s="0" t="s">
        <v>227</v>
      </c>
      <c r="R214" s="0" t="s">
        <v>202</v>
      </c>
      <c r="S214" s="0" t="s">
        <v>652</v>
      </c>
      <c r="T214" s="0" t="s">
        <v>189</v>
      </c>
      <c r="U214" s="0" t="s">
        <v>453</v>
      </c>
      <c r="V214" s="0" t="s">
        <v>454</v>
      </c>
      <c r="W214" s="0" t="s">
        <v>544</v>
      </c>
      <c r="X214" s="0" t="s">
        <v>653</v>
      </c>
      <c r="Y214" s="0" t="n">
        <v>7</v>
      </c>
      <c r="Z214" s="0" t="s">
        <v>185</v>
      </c>
      <c r="AA214" s="0" t="n">
        <v>1</v>
      </c>
      <c r="AB214" s="0" t="s">
        <v>187</v>
      </c>
      <c r="AC214" s="0" t="n">
        <v>8684000</v>
      </c>
      <c r="AD214" s="0" t="n">
        <v>8684000</v>
      </c>
      <c r="AE214" s="0" t="n">
        <v>8684000</v>
      </c>
      <c r="AF214" s="0" t="n">
        <v>0.9891</v>
      </c>
      <c r="AG214" s="0" t="n">
        <v>8589000</v>
      </c>
      <c r="AH214" s="0" t="n">
        <v>8589000</v>
      </c>
      <c r="AI214" s="0" t="n">
        <v>95000</v>
      </c>
      <c r="AJ214" s="0" t="n">
        <v>8684000</v>
      </c>
      <c r="AK214" s="0" t="n">
        <v>8589000</v>
      </c>
      <c r="AL214" s="0" t="n">
        <v>8589000</v>
      </c>
      <c r="AM214" s="0" t="s">
        <v>194</v>
      </c>
      <c r="AN214" s="0" t="n">
        <v>5.776</v>
      </c>
      <c r="AO214" s="0" t="n">
        <v>4.976</v>
      </c>
      <c r="AP214" s="0" t="n">
        <v>5.048</v>
      </c>
      <c r="AQ214" s="0" t="n">
        <v>100</v>
      </c>
      <c r="AR214" s="0" t="n">
        <v>100</v>
      </c>
      <c r="AS214" s="1" t="n">
        <v>44282</v>
      </c>
      <c r="AT214" s="1" t="n">
        <v>49945</v>
      </c>
      <c r="AU214" s="1" t="n">
        <v>46295</v>
      </c>
      <c r="AV214" s="0" t="s">
        <v>654</v>
      </c>
      <c r="AW214" s="0" t="s">
        <v>234</v>
      </c>
      <c r="AX214" s="0" t="s">
        <v>187</v>
      </c>
      <c r="AY214" s="0" t="s">
        <v>655</v>
      </c>
      <c r="AZ214" s="0" t="s">
        <v>656</v>
      </c>
      <c r="BA214" s="0" t="s">
        <v>454</v>
      </c>
      <c r="BB214" s="0" t="s">
        <v>234</v>
      </c>
      <c r="BC214" s="0" t="s">
        <v>657</v>
      </c>
      <c r="BI214" s="0" t="n">
        <v>8684000</v>
      </c>
      <c r="BJ214" s="0" t="n">
        <v>8684000</v>
      </c>
      <c r="BK214" s="0" t="s">
        <v>200</v>
      </c>
      <c r="BL214" s="0" t="s">
        <v>201</v>
      </c>
      <c r="BN214" s="0" t="n">
        <v>9.3</v>
      </c>
      <c r="BO214" s="0" t="n">
        <v>10.25</v>
      </c>
      <c r="BP214" s="0" t="s">
        <v>202</v>
      </c>
      <c r="BQ214" s="0" t="s">
        <v>202</v>
      </c>
      <c r="BR214" s="0" t="s">
        <v>203</v>
      </c>
      <c r="BS214" s="0" t="s">
        <v>658</v>
      </c>
      <c r="BT214" s="0" t="s">
        <v>205</v>
      </c>
      <c r="BU214" s="0" t="s">
        <v>220</v>
      </c>
      <c r="BW214" s="0" t="s">
        <v>257</v>
      </c>
      <c r="BX214" s="0" t="s">
        <v>217</v>
      </c>
      <c r="BY214" s="0" t="n">
        <v>275</v>
      </c>
      <c r="BZ214" s="0" t="n">
        <v>275</v>
      </c>
      <c r="CB214" s="0" t="s">
        <v>208</v>
      </c>
      <c r="CC214" s="0" t="s">
        <v>209</v>
      </c>
      <c r="CD214" s="0" t="s">
        <v>209</v>
      </c>
      <c r="CE214" s="0" t="s">
        <v>239</v>
      </c>
      <c r="CF214" s="0" t="s">
        <v>211</v>
      </c>
      <c r="CG214" s="0" t="s">
        <v>211</v>
      </c>
      <c r="CH214" s="1" t="n">
        <v>46112</v>
      </c>
      <c r="CI214" s="0" t="n">
        <v>1.2</v>
      </c>
      <c r="CJ214" s="0" t="n">
        <v>3.23</v>
      </c>
      <c r="CK214" s="0" t="n">
        <v>3.39</v>
      </c>
      <c r="CL214" s="0" t="s">
        <v>212</v>
      </c>
      <c r="DA214" s="0" t="n">
        <v>0.55</v>
      </c>
      <c r="DC214" s="0" t="n">
        <v>0.85</v>
      </c>
      <c r="DD214" s="0" t="s">
        <v>212</v>
      </c>
      <c r="ED214" s="0" t="s">
        <v>212</v>
      </c>
      <c r="EE214" s="0" t="n">
        <v>1.05</v>
      </c>
      <c r="EI214" s="0" t="n">
        <v>1.41</v>
      </c>
      <c r="FQ214" s="0" t="n">
        <v>27091485</v>
      </c>
    </row>
    <row r="215" customFormat="false" ht="15" hidden="false" customHeight="false" outlineLevel="0" collapsed="false">
      <c r="B215" s="0" t="str">
        <f aca="false">C215&amp;"x"&amp;I215</f>
        <v>61008x100247</v>
      </c>
      <c r="C215" s="0" t="n">
        <f aca="false">IF(G215="SINGLE",H215,G215)</f>
        <v>61008</v>
      </c>
      <c r="D215" s="0" t="e">
        <f aca="false">_xlfn.XLOOKUP(I215,calculations!$t:$t,calculations!$s:$s)</f>
        <v>#VALUE!</v>
      </c>
      <c r="E215" s="0" t="str">
        <f aca="false">_xlfn.XLOOKUP(I215,Mapping!$T:$T,Mapping!$Q:$Q)</f>
        <v>QUIL41</v>
      </c>
      <c r="F215" s="1" t="n">
        <v>46203</v>
      </c>
      <c r="G215" s="0" t="n">
        <v>61008</v>
      </c>
      <c r="H215" s="0" t="n">
        <v>61008</v>
      </c>
      <c r="I215" s="0" t="n">
        <v>100247</v>
      </c>
      <c r="J215" s="0" t="s">
        <v>651</v>
      </c>
      <c r="K215" s="0" t="s">
        <v>277</v>
      </c>
      <c r="L215" s="0" t="s">
        <v>277</v>
      </c>
      <c r="M215" s="0" t="s">
        <v>184</v>
      </c>
      <c r="N215" s="0" t="n">
        <v>8215000</v>
      </c>
      <c r="O215" s="0" t="n">
        <v>8215000</v>
      </c>
      <c r="P215" s="0" t="s">
        <v>185</v>
      </c>
      <c r="Q215" s="0" t="s">
        <v>227</v>
      </c>
      <c r="R215" s="0" t="s">
        <v>202</v>
      </c>
      <c r="S215" s="0" t="s">
        <v>652</v>
      </c>
      <c r="T215" s="0" t="s">
        <v>189</v>
      </c>
      <c r="U215" s="0" t="s">
        <v>453</v>
      </c>
      <c r="V215" s="0" t="s">
        <v>454</v>
      </c>
      <c r="W215" s="0" t="s">
        <v>544</v>
      </c>
      <c r="X215" s="0" t="s">
        <v>653</v>
      </c>
      <c r="Y215" s="0" t="n">
        <v>7</v>
      </c>
      <c r="Z215" s="0" t="s">
        <v>185</v>
      </c>
      <c r="AA215" s="0" t="n">
        <v>1</v>
      </c>
      <c r="AB215" s="0" t="s">
        <v>187</v>
      </c>
      <c r="AC215" s="0" t="n">
        <v>8306000</v>
      </c>
      <c r="AD215" s="0" t="n">
        <v>8306000</v>
      </c>
      <c r="AE215" s="0" t="n">
        <v>8306000</v>
      </c>
      <c r="AF215" s="0" t="n">
        <v>0.989</v>
      </c>
      <c r="AG215" s="0" t="n">
        <v>8215000</v>
      </c>
      <c r="AH215" s="0" t="n">
        <v>8215000</v>
      </c>
      <c r="AI215" s="0" t="n">
        <v>91000</v>
      </c>
      <c r="AJ215" s="0" t="n">
        <v>8306000</v>
      </c>
      <c r="AK215" s="0" t="n">
        <v>8215000</v>
      </c>
      <c r="AL215" s="0" t="n">
        <v>8215000</v>
      </c>
      <c r="AM215" s="0" t="s">
        <v>194</v>
      </c>
      <c r="AN215" s="0" t="n">
        <v>6.068</v>
      </c>
      <c r="AO215" s="0" t="n">
        <v>5.97</v>
      </c>
      <c r="AP215" s="0" t="n">
        <v>5.04</v>
      </c>
      <c r="AQ215" s="0" t="n">
        <v>100</v>
      </c>
      <c r="AR215" s="0" t="n">
        <v>100</v>
      </c>
      <c r="AS215" s="1" t="n">
        <v>44282</v>
      </c>
      <c r="AT215" s="1" t="n">
        <v>49945</v>
      </c>
      <c r="AU215" s="1" t="n">
        <v>46295</v>
      </c>
      <c r="AV215" s="0" t="s">
        <v>654</v>
      </c>
      <c r="AW215" s="0" t="s">
        <v>234</v>
      </c>
      <c r="AX215" s="0" t="s">
        <v>187</v>
      </c>
      <c r="AY215" s="0" t="s">
        <v>655</v>
      </c>
      <c r="AZ215" s="0" t="s">
        <v>656</v>
      </c>
      <c r="BA215" s="0" t="s">
        <v>454</v>
      </c>
      <c r="BB215" s="0" t="s">
        <v>234</v>
      </c>
      <c r="BC215" s="0" t="s">
        <v>657</v>
      </c>
      <c r="BI215" s="0" t="n">
        <v>8306000</v>
      </c>
      <c r="BJ215" s="0" t="n">
        <v>8306000</v>
      </c>
      <c r="BK215" s="0" t="s">
        <v>200</v>
      </c>
      <c r="BL215" s="0" t="s">
        <v>201</v>
      </c>
      <c r="BN215" s="0" t="n">
        <v>9.3</v>
      </c>
      <c r="BO215" s="0" t="n">
        <v>10.25</v>
      </c>
      <c r="BP215" s="0" t="s">
        <v>202</v>
      </c>
      <c r="BQ215" s="0" t="s">
        <v>202</v>
      </c>
      <c r="BR215" s="0" t="s">
        <v>203</v>
      </c>
      <c r="BS215" s="0" t="s">
        <v>658</v>
      </c>
      <c r="BT215" s="0" t="s">
        <v>205</v>
      </c>
      <c r="BU215" s="0" t="s">
        <v>255</v>
      </c>
      <c r="BW215" s="0" t="s">
        <v>257</v>
      </c>
      <c r="BX215" s="0" t="s">
        <v>207</v>
      </c>
      <c r="BY215" s="0" t="n">
        <v>275</v>
      </c>
      <c r="BZ215" s="0" t="n">
        <v>275</v>
      </c>
      <c r="CB215" s="0" t="s">
        <v>208</v>
      </c>
      <c r="CC215" s="0" t="s">
        <v>209</v>
      </c>
      <c r="CD215" s="0" t="s">
        <v>209</v>
      </c>
      <c r="CE215" s="0" t="s">
        <v>239</v>
      </c>
      <c r="CF215" s="0" t="s">
        <v>211</v>
      </c>
      <c r="CG215" s="0" t="s">
        <v>211</v>
      </c>
      <c r="CH215" s="1" t="n">
        <v>46112</v>
      </c>
      <c r="CI215" s="0" t="n">
        <v>1.2</v>
      </c>
      <c r="CJ215" s="0" t="n">
        <v>2.8</v>
      </c>
      <c r="CK215" s="0" t="n">
        <v>2.94</v>
      </c>
      <c r="CL215" s="0" t="s">
        <v>212</v>
      </c>
      <c r="DA215" s="0" t="n">
        <v>0.82</v>
      </c>
      <c r="DC215" s="0" t="n">
        <v>0.85</v>
      </c>
      <c r="DD215" s="0" t="s">
        <v>213</v>
      </c>
      <c r="ED215" s="0" t="s">
        <v>212</v>
      </c>
      <c r="EE215" s="0" t="n">
        <v>1.05</v>
      </c>
      <c r="EI215" s="0" t="n">
        <v>1.54</v>
      </c>
      <c r="FQ215" s="0" t="n">
        <v>18830465</v>
      </c>
    </row>
    <row r="216" customFormat="false" ht="15" hidden="false" customHeight="false" outlineLevel="0" collapsed="false">
      <c r="B216" s="0" t="str">
        <f aca="false">C216&amp;"x"&amp;I216</f>
        <v>61018x100247</v>
      </c>
      <c r="C216" s="0" t="n">
        <f aca="false">IF(G216="SINGLE",H216,G216)</f>
        <v>61018</v>
      </c>
      <c r="D216" s="0" t="e">
        <f aca="false">_xlfn.XLOOKUP(I216,calculations!$t:$t,calculations!$s:$s)</f>
        <v>#VALUE!</v>
      </c>
      <c r="E216" s="0" t="str">
        <f aca="false">_xlfn.XLOOKUP(I216,Mapping!$T:$T,Mapping!$Q:$Q)</f>
        <v>QUIL41</v>
      </c>
      <c r="F216" s="1" t="n">
        <v>46203</v>
      </c>
      <c r="G216" s="0" t="n">
        <v>61018</v>
      </c>
      <c r="H216" s="0" t="n">
        <v>61018</v>
      </c>
      <c r="I216" s="0" t="n">
        <v>100247</v>
      </c>
      <c r="J216" s="0" t="s">
        <v>651</v>
      </c>
      <c r="K216" s="0" t="s">
        <v>258</v>
      </c>
      <c r="L216" s="0" t="s">
        <v>258</v>
      </c>
      <c r="M216" s="0" t="s">
        <v>184</v>
      </c>
      <c r="N216" s="0" t="n">
        <v>14188000</v>
      </c>
      <c r="O216" s="0" t="n">
        <v>14188000</v>
      </c>
      <c r="P216" s="0" t="s">
        <v>185</v>
      </c>
      <c r="Q216" s="0" t="s">
        <v>227</v>
      </c>
      <c r="R216" s="0" t="s">
        <v>202</v>
      </c>
      <c r="S216" s="0" t="s">
        <v>652</v>
      </c>
      <c r="T216" s="0" t="s">
        <v>189</v>
      </c>
      <c r="U216" s="0" t="s">
        <v>453</v>
      </c>
      <c r="V216" s="0" t="s">
        <v>454</v>
      </c>
      <c r="W216" s="0" t="s">
        <v>544</v>
      </c>
      <c r="X216" s="0" t="s">
        <v>653</v>
      </c>
      <c r="Y216" s="0" t="n">
        <v>7</v>
      </c>
      <c r="Z216" s="0" t="s">
        <v>185</v>
      </c>
      <c r="AA216" s="0" t="n">
        <v>1</v>
      </c>
      <c r="AB216" s="0" t="s">
        <v>187</v>
      </c>
      <c r="AC216" s="0" t="n">
        <v>14344000</v>
      </c>
      <c r="AD216" s="0" t="n">
        <v>14344000</v>
      </c>
      <c r="AE216" s="0" t="n">
        <v>14344000</v>
      </c>
      <c r="AF216" s="0" t="n">
        <v>0.9891</v>
      </c>
      <c r="AG216" s="0" t="n">
        <v>14188000</v>
      </c>
      <c r="AH216" s="0" t="n">
        <v>14188000</v>
      </c>
      <c r="AI216" s="0" t="n">
        <v>156000</v>
      </c>
      <c r="AJ216" s="0" t="n">
        <v>14344000</v>
      </c>
      <c r="AK216" s="0" t="n">
        <v>14188000</v>
      </c>
      <c r="AL216" s="0" t="n">
        <v>14188000</v>
      </c>
      <c r="AM216" s="0" t="s">
        <v>194</v>
      </c>
      <c r="AN216" s="0" t="n">
        <v>3.684</v>
      </c>
      <c r="AO216" s="0" t="n">
        <v>5.001</v>
      </c>
      <c r="AP216" s="0" t="n">
        <v>6.093</v>
      </c>
      <c r="AQ216" s="0" t="n">
        <v>100</v>
      </c>
      <c r="AR216" s="0" t="n">
        <v>100</v>
      </c>
      <c r="AS216" s="1" t="n">
        <v>44282</v>
      </c>
      <c r="AT216" s="1" t="n">
        <v>49945</v>
      </c>
      <c r="AU216" s="1" t="n">
        <v>46295</v>
      </c>
      <c r="AV216" s="0" t="s">
        <v>654</v>
      </c>
      <c r="AW216" s="0" t="s">
        <v>234</v>
      </c>
      <c r="AX216" s="0" t="s">
        <v>187</v>
      </c>
      <c r="AY216" s="0" t="s">
        <v>655</v>
      </c>
      <c r="AZ216" s="0" t="s">
        <v>656</v>
      </c>
      <c r="BA216" s="0" t="s">
        <v>454</v>
      </c>
      <c r="BB216" s="0" t="s">
        <v>234</v>
      </c>
      <c r="BC216" s="0" t="s">
        <v>657</v>
      </c>
      <c r="BI216" s="0" t="n">
        <v>14344000</v>
      </c>
      <c r="BJ216" s="0" t="n">
        <v>14344000</v>
      </c>
      <c r="BK216" s="0" t="s">
        <v>200</v>
      </c>
      <c r="BL216" s="0" t="s">
        <v>201</v>
      </c>
      <c r="BN216" s="0" t="n">
        <v>9.3</v>
      </c>
      <c r="BO216" s="0" t="n">
        <v>10.25</v>
      </c>
      <c r="BP216" s="0" t="s">
        <v>202</v>
      </c>
      <c r="BQ216" s="0" t="s">
        <v>202</v>
      </c>
      <c r="BR216" s="0" t="s">
        <v>203</v>
      </c>
      <c r="BS216" s="0" t="s">
        <v>658</v>
      </c>
      <c r="BT216" s="0" t="s">
        <v>205</v>
      </c>
      <c r="BU216" s="0" t="s">
        <v>269</v>
      </c>
      <c r="BW216" s="0" t="s">
        <v>257</v>
      </c>
      <c r="BX216" s="0" t="s">
        <v>207</v>
      </c>
      <c r="BY216" s="0" t="n">
        <v>275</v>
      </c>
      <c r="BZ216" s="0" t="n">
        <v>275</v>
      </c>
      <c r="CB216" s="0" t="s">
        <v>208</v>
      </c>
      <c r="CC216" s="0" t="s">
        <v>209</v>
      </c>
      <c r="CD216" s="0" t="s">
        <v>209</v>
      </c>
      <c r="CE216" s="0" t="s">
        <v>239</v>
      </c>
      <c r="CF216" s="0" t="s">
        <v>211</v>
      </c>
      <c r="CG216" s="0" t="s">
        <v>211</v>
      </c>
      <c r="CH216" s="1" t="n">
        <v>46112</v>
      </c>
      <c r="CI216" s="0" t="n">
        <v>1.2</v>
      </c>
      <c r="CJ216" s="0" t="n">
        <v>1.24</v>
      </c>
      <c r="CK216" s="0" t="n">
        <v>1.3</v>
      </c>
      <c r="CL216" s="0" t="s">
        <v>213</v>
      </c>
      <c r="DA216" s="0" t="n">
        <v>0.47</v>
      </c>
      <c r="DC216" s="0" t="n">
        <v>0.85</v>
      </c>
      <c r="DD216" s="0" t="s">
        <v>212</v>
      </c>
      <c r="ED216" s="0" t="s">
        <v>212</v>
      </c>
      <c r="EE216" s="0" t="n">
        <v>1.05</v>
      </c>
      <c r="EI216" s="0" t="n">
        <v>1.31</v>
      </c>
      <c r="FQ216" s="0" t="n">
        <v>23141575</v>
      </c>
    </row>
    <row r="217" customFormat="false" ht="15" hidden="false" customHeight="false" outlineLevel="0" collapsed="false">
      <c r="B217" s="0" t="str">
        <f aca="false">C217&amp;"x"&amp;I217</f>
        <v>61019x100247</v>
      </c>
      <c r="C217" s="0" t="n">
        <f aca="false">IF(G217="SINGLE",H217,G217)</f>
        <v>61019</v>
      </c>
      <c r="D217" s="0" t="e">
        <f aca="false">_xlfn.XLOOKUP(I217,calculations!$t:$t,calculations!$s:$s)</f>
        <v>#VALUE!</v>
      </c>
      <c r="E217" s="0" t="str">
        <f aca="false">_xlfn.XLOOKUP(I217,Mapping!$T:$T,Mapping!$Q:$Q)</f>
        <v>QUIL41</v>
      </c>
      <c r="F217" s="1" t="n">
        <v>46203</v>
      </c>
      <c r="G217" s="0" t="n">
        <v>61019</v>
      </c>
      <c r="H217" s="0" t="n">
        <v>61019</v>
      </c>
      <c r="I217" s="0" t="n">
        <v>100247</v>
      </c>
      <c r="J217" s="0" t="s">
        <v>651</v>
      </c>
      <c r="K217" s="0" t="s">
        <v>223</v>
      </c>
      <c r="L217" s="0" t="s">
        <v>223</v>
      </c>
      <c r="M217" s="0" t="s">
        <v>184</v>
      </c>
      <c r="N217" s="0" t="n">
        <v>15112000</v>
      </c>
      <c r="O217" s="0" t="n">
        <v>15112000</v>
      </c>
      <c r="P217" s="0" t="s">
        <v>185</v>
      </c>
      <c r="Q217" s="0" t="s">
        <v>227</v>
      </c>
      <c r="R217" s="0" t="s">
        <v>202</v>
      </c>
      <c r="S217" s="0" t="s">
        <v>652</v>
      </c>
      <c r="T217" s="0" t="s">
        <v>189</v>
      </c>
      <c r="U217" s="0" t="s">
        <v>453</v>
      </c>
      <c r="V217" s="0" t="s">
        <v>454</v>
      </c>
      <c r="W217" s="0" t="s">
        <v>544</v>
      </c>
      <c r="X217" s="0" t="s">
        <v>653</v>
      </c>
      <c r="Y217" s="0" t="n">
        <v>7</v>
      </c>
      <c r="Z217" s="0" t="s">
        <v>185</v>
      </c>
      <c r="AA217" s="0" t="n">
        <v>1</v>
      </c>
      <c r="AB217" s="0" t="s">
        <v>187</v>
      </c>
      <c r="AC217" s="0" t="n">
        <v>15279000</v>
      </c>
      <c r="AD217" s="0" t="n">
        <v>15279000</v>
      </c>
      <c r="AE217" s="0" t="n">
        <v>15279000</v>
      </c>
      <c r="AF217" s="0" t="n">
        <v>0.9891</v>
      </c>
      <c r="AG217" s="0" t="n">
        <v>15112000</v>
      </c>
      <c r="AH217" s="0" t="n">
        <v>15112000</v>
      </c>
      <c r="AI217" s="0" t="n">
        <v>167000</v>
      </c>
      <c r="AJ217" s="0" t="n">
        <v>15279000</v>
      </c>
      <c r="AK217" s="0" t="n">
        <v>15112000</v>
      </c>
      <c r="AL217" s="0" t="n">
        <v>15112000</v>
      </c>
      <c r="AM217" s="0" t="s">
        <v>194</v>
      </c>
      <c r="AN217" s="0" t="n">
        <v>5.86</v>
      </c>
      <c r="AO217" s="0" t="n">
        <v>4.632</v>
      </c>
      <c r="AP217" s="0" t="n">
        <v>5.286</v>
      </c>
      <c r="AQ217" s="0" t="n">
        <v>100</v>
      </c>
      <c r="AR217" s="0" t="n">
        <v>100</v>
      </c>
      <c r="AS217" s="1" t="n">
        <v>44282</v>
      </c>
      <c r="AT217" s="1" t="n">
        <v>49945</v>
      </c>
      <c r="AU217" s="1" t="n">
        <v>46295</v>
      </c>
      <c r="AV217" s="0" t="s">
        <v>654</v>
      </c>
      <c r="AW217" s="0" t="s">
        <v>234</v>
      </c>
      <c r="AX217" s="0" t="s">
        <v>187</v>
      </c>
      <c r="AY217" s="0" t="s">
        <v>655</v>
      </c>
      <c r="AZ217" s="0" t="s">
        <v>656</v>
      </c>
      <c r="BA217" s="0" t="s">
        <v>454</v>
      </c>
      <c r="BB217" s="0" t="s">
        <v>234</v>
      </c>
      <c r="BC217" s="0" t="s">
        <v>657</v>
      </c>
      <c r="BI217" s="0" t="n">
        <v>15279000</v>
      </c>
      <c r="BJ217" s="0" t="n">
        <v>15279000</v>
      </c>
      <c r="BK217" s="0" t="s">
        <v>200</v>
      </c>
      <c r="BL217" s="0" t="s">
        <v>201</v>
      </c>
      <c r="BN217" s="0" t="n">
        <v>9.3</v>
      </c>
      <c r="BO217" s="0" t="n">
        <v>10.25</v>
      </c>
      <c r="BP217" s="0" t="s">
        <v>202</v>
      </c>
      <c r="BQ217" s="0" t="s">
        <v>202</v>
      </c>
      <c r="BR217" s="0" t="s">
        <v>203</v>
      </c>
      <c r="BS217" s="0" t="s">
        <v>658</v>
      </c>
      <c r="BT217" s="0" t="s">
        <v>205</v>
      </c>
      <c r="BU217" s="0" t="s">
        <v>269</v>
      </c>
      <c r="BW217" s="0" t="s">
        <v>206</v>
      </c>
      <c r="BX217" s="0" t="s">
        <v>207</v>
      </c>
      <c r="BY217" s="0" t="n">
        <v>275</v>
      </c>
      <c r="BZ217" s="0" t="n">
        <v>275</v>
      </c>
      <c r="CB217" s="0" t="s">
        <v>208</v>
      </c>
      <c r="CC217" s="0" t="s">
        <v>209</v>
      </c>
      <c r="CD217" s="0" t="s">
        <v>209</v>
      </c>
      <c r="CE217" s="0" t="s">
        <v>239</v>
      </c>
      <c r="CF217" s="0" t="s">
        <v>211</v>
      </c>
      <c r="CG217" s="0" t="s">
        <v>211</v>
      </c>
      <c r="CH217" s="1" t="n">
        <v>46112</v>
      </c>
      <c r="CI217" s="0" t="n">
        <v>1.2</v>
      </c>
      <c r="CJ217" s="0" t="n">
        <v>2.07</v>
      </c>
      <c r="CK217" s="0" t="n">
        <v>2.17</v>
      </c>
      <c r="CL217" s="0" t="s">
        <v>212</v>
      </c>
      <c r="DA217" s="0" t="n">
        <v>0.67</v>
      </c>
      <c r="DC217" s="0" t="n">
        <v>0.85</v>
      </c>
      <c r="DD217" s="0" t="s">
        <v>212</v>
      </c>
      <c r="ED217" s="0" t="s">
        <v>212</v>
      </c>
      <c r="EE217" s="0" t="n">
        <v>1.05</v>
      </c>
      <c r="EI217" s="0" t="n">
        <v>1.47</v>
      </c>
      <c r="FQ217" s="0" t="n">
        <v>22532257</v>
      </c>
    </row>
    <row r="218" customFormat="false" ht="15" hidden="false" customHeight="false" outlineLevel="0" collapsed="false">
      <c r="B218" s="0" t="str">
        <f aca="false">C218&amp;"x"&amp;I218</f>
        <v>61001x100248</v>
      </c>
      <c r="C218" s="0" t="n">
        <f aca="false">IF(G218="SINGLE",H218,G218)</f>
        <v>61001</v>
      </c>
      <c r="D218" s="0" t="e">
        <f aca="false">_xlfn.XLOOKUP(I218,calculations!$t:$t,calculations!$s:$s)</f>
        <v>#VALUE!</v>
      </c>
      <c r="E218" s="0" t="str">
        <f aca="false">_xlfn.XLOOKUP(I218,Mapping!$T:$T,Mapping!$Q:$Q)</f>
        <v>ROWA42</v>
      </c>
      <c r="F218" s="1" t="n">
        <v>46203</v>
      </c>
      <c r="G218" s="0" t="n">
        <v>61001</v>
      </c>
      <c r="H218" s="0" t="n">
        <v>61001</v>
      </c>
      <c r="I218" s="0" t="n">
        <v>100248</v>
      </c>
      <c r="J218" s="0" t="s">
        <v>659</v>
      </c>
      <c r="K218" s="0" t="s">
        <v>345</v>
      </c>
      <c r="L218" s="0" t="s">
        <v>345</v>
      </c>
      <c r="M218" s="0" t="s">
        <v>184</v>
      </c>
      <c r="N218" s="0" t="n">
        <v>23324000</v>
      </c>
      <c r="O218" s="0" t="n">
        <v>14309202.45</v>
      </c>
      <c r="P218" s="0" t="s">
        <v>185</v>
      </c>
      <c r="Q218" s="0" t="s">
        <v>227</v>
      </c>
      <c r="R218" s="0" t="s">
        <v>202</v>
      </c>
      <c r="S218" s="0" t="s">
        <v>660</v>
      </c>
      <c r="T218" s="0" t="s">
        <v>189</v>
      </c>
      <c r="U218" s="0" t="s">
        <v>571</v>
      </c>
      <c r="V218" s="0" t="s">
        <v>572</v>
      </c>
      <c r="W218" s="0" t="s">
        <v>434</v>
      </c>
      <c r="X218" s="0" t="s">
        <v>661</v>
      </c>
      <c r="Y218" s="0" t="n">
        <v>10.9</v>
      </c>
      <c r="Z218" s="0" t="s">
        <v>574</v>
      </c>
      <c r="AA218" s="0" t="n">
        <v>1.63</v>
      </c>
      <c r="AB218" s="0" t="s">
        <v>202</v>
      </c>
      <c r="AC218" s="0" t="n">
        <v>25261000</v>
      </c>
      <c r="AD218" s="0" t="n">
        <v>25261000</v>
      </c>
      <c r="AE218" s="0" t="n">
        <v>15497546.01</v>
      </c>
      <c r="AF218" s="0" t="n">
        <v>0.9233</v>
      </c>
      <c r="AG218" s="0" t="n">
        <v>23324000</v>
      </c>
      <c r="AH218" s="0" t="n">
        <v>23324000</v>
      </c>
      <c r="AI218" s="0" t="n">
        <v>1937000</v>
      </c>
      <c r="AJ218" s="0" t="n">
        <v>25261000</v>
      </c>
      <c r="AK218" s="0" t="n">
        <v>23324000</v>
      </c>
      <c r="AL218" s="0" t="n">
        <v>23324000</v>
      </c>
      <c r="AN218" s="0" t="n">
        <v>3.37</v>
      </c>
      <c r="AO218" s="0" t="n">
        <v>4.396</v>
      </c>
      <c r="AP218" s="0" t="n">
        <v>6.096</v>
      </c>
      <c r="AQ218" s="0" t="n">
        <v>100</v>
      </c>
      <c r="AR218" s="0" t="n">
        <v>100</v>
      </c>
      <c r="AS218" s="1" t="n">
        <v>43211</v>
      </c>
      <c r="AT218" s="1" t="n">
        <v>48873</v>
      </c>
      <c r="AU218" s="1" t="n">
        <v>46295</v>
      </c>
      <c r="AV218" s="0" t="s">
        <v>662</v>
      </c>
      <c r="AW218" s="0" t="s">
        <v>196</v>
      </c>
      <c r="AX218" s="0" t="s">
        <v>187</v>
      </c>
      <c r="AY218" s="0" t="s">
        <v>663</v>
      </c>
      <c r="AZ218" s="0" t="s">
        <v>664</v>
      </c>
      <c r="BA218" s="0" t="s">
        <v>572</v>
      </c>
      <c r="BB218" s="0" t="s">
        <v>196</v>
      </c>
      <c r="BC218" s="0" t="s">
        <v>665</v>
      </c>
      <c r="BI218" s="0" t="n">
        <v>25261000</v>
      </c>
      <c r="BJ218" s="0" t="n">
        <v>15497546.01</v>
      </c>
      <c r="BK218" s="0" t="s">
        <v>253</v>
      </c>
      <c r="BL218" s="0" t="s">
        <v>201</v>
      </c>
      <c r="BN218" s="0" t="n">
        <v>9.3</v>
      </c>
      <c r="BO218" s="0" t="n">
        <v>7.31</v>
      </c>
      <c r="BP218" s="0" t="s">
        <v>187</v>
      </c>
      <c r="BQ218" s="0" t="s">
        <v>187</v>
      </c>
      <c r="BR218" s="0" t="s">
        <v>203</v>
      </c>
      <c r="BS218" s="0" t="s">
        <v>666</v>
      </c>
      <c r="BT218" s="0" t="s">
        <v>216</v>
      </c>
      <c r="BU218" s="0" t="s">
        <v>224</v>
      </c>
      <c r="BW218" s="0" t="s">
        <v>257</v>
      </c>
      <c r="BX218" s="0" t="s">
        <v>217</v>
      </c>
      <c r="BY218" s="0" t="n">
        <v>140</v>
      </c>
      <c r="BZ218" s="0" t="n">
        <v>140</v>
      </c>
      <c r="CC218" s="0" t="s">
        <v>256</v>
      </c>
      <c r="CD218" s="0" t="s">
        <v>256</v>
      </c>
      <c r="CE218" s="0" t="s">
        <v>667</v>
      </c>
      <c r="CF218" s="0" t="s">
        <v>211</v>
      </c>
      <c r="CG218" s="0" t="s">
        <v>211</v>
      </c>
      <c r="CH218" s="1" t="n">
        <v>46112</v>
      </c>
      <c r="CI218" s="0" t="n">
        <v>1.2</v>
      </c>
      <c r="CJ218" s="0" t="n">
        <v>2.49</v>
      </c>
      <c r="CK218" s="0" t="n">
        <v>2.61</v>
      </c>
      <c r="CL218" s="0" t="s">
        <v>212</v>
      </c>
      <c r="DA218" s="0" t="n">
        <v>0.56</v>
      </c>
      <c r="DC218" s="0" t="n">
        <v>0.85</v>
      </c>
      <c r="DD218" s="0" t="s">
        <v>212</v>
      </c>
      <c r="ED218" s="0" t="s">
        <v>212</v>
      </c>
      <c r="EE218" s="0" t="n">
        <v>1.05</v>
      </c>
      <c r="EI218" s="0" t="n">
        <v>1.52</v>
      </c>
      <c r="FQ218" s="0" t="n">
        <v>33173516</v>
      </c>
    </row>
    <row r="219" customFormat="false" ht="15" hidden="false" customHeight="false" outlineLevel="0" collapsed="false">
      <c r="B219" s="0" t="str">
        <f aca="false">C219&amp;"x"&amp;I219</f>
        <v>61001x100249</v>
      </c>
      <c r="C219" s="0" t="n">
        <f aca="false">IF(G219="SINGLE",H219,G219)</f>
        <v>61001</v>
      </c>
      <c r="D219" s="0" t="e">
        <f aca="false">_xlfn.XLOOKUP(I219,calculations!$t:$t,calculations!$s:$s)</f>
        <v>#VALUE!</v>
      </c>
      <c r="E219" s="0" t="str">
        <f aca="false">_xlfn.XLOOKUP(I219,Mapping!$T:$T,Mapping!$Q:$Q)</f>
        <v>ROWA42</v>
      </c>
      <c r="F219" s="1" t="n">
        <v>46203</v>
      </c>
      <c r="G219" s="0" t="n">
        <v>61001</v>
      </c>
      <c r="H219" s="0" t="n">
        <v>61001</v>
      </c>
      <c r="I219" s="0" t="n">
        <v>100249</v>
      </c>
      <c r="J219" s="0" t="s">
        <v>668</v>
      </c>
      <c r="K219" s="0" t="s">
        <v>345</v>
      </c>
      <c r="L219" s="0" t="s">
        <v>345</v>
      </c>
      <c r="M219" s="0" t="s">
        <v>184</v>
      </c>
      <c r="N219" s="0" t="n">
        <v>15550000</v>
      </c>
      <c r="O219" s="0" t="n">
        <v>9539877.3</v>
      </c>
      <c r="P219" s="0" t="s">
        <v>185</v>
      </c>
      <c r="Q219" s="0" t="s">
        <v>227</v>
      </c>
      <c r="R219" s="0" t="s">
        <v>202</v>
      </c>
      <c r="S219" s="0" t="s">
        <v>669</v>
      </c>
      <c r="T219" s="0" t="s">
        <v>189</v>
      </c>
      <c r="U219" s="0" t="s">
        <v>571</v>
      </c>
      <c r="V219" s="0" t="s">
        <v>572</v>
      </c>
      <c r="W219" s="0" t="s">
        <v>434</v>
      </c>
      <c r="X219" s="0" t="s">
        <v>661</v>
      </c>
      <c r="Y219" s="0" t="n">
        <v>10.9</v>
      </c>
      <c r="Z219" s="0" t="s">
        <v>574</v>
      </c>
      <c r="AA219" s="0" t="n">
        <v>1.63</v>
      </c>
      <c r="AB219" s="0" t="s">
        <v>202</v>
      </c>
      <c r="AC219" s="0" t="n">
        <v>16841000</v>
      </c>
      <c r="AD219" s="0" t="n">
        <v>16841000</v>
      </c>
      <c r="AE219" s="0" t="n">
        <v>10331901.84</v>
      </c>
      <c r="AF219" s="0" t="n">
        <v>0.9233</v>
      </c>
      <c r="AG219" s="0" t="n">
        <v>15550000</v>
      </c>
      <c r="AH219" s="0" t="n">
        <v>15550000</v>
      </c>
      <c r="AI219" s="0" t="n">
        <v>1291000</v>
      </c>
      <c r="AJ219" s="0" t="n">
        <v>16841000</v>
      </c>
      <c r="AK219" s="0" t="n">
        <v>15550000</v>
      </c>
      <c r="AL219" s="0" t="n">
        <v>15550000</v>
      </c>
      <c r="AN219" s="0" t="n">
        <v>4.004</v>
      </c>
      <c r="AO219" s="0" t="n">
        <v>4.472</v>
      </c>
      <c r="AP219" s="0" t="n">
        <v>2.639</v>
      </c>
      <c r="AQ219" s="0" t="n">
        <v>100</v>
      </c>
      <c r="AR219" s="0" t="n">
        <v>100</v>
      </c>
      <c r="AS219" s="1" t="n">
        <v>43211</v>
      </c>
      <c r="AT219" s="1" t="n">
        <v>48873</v>
      </c>
      <c r="AU219" s="1" t="n">
        <v>46295</v>
      </c>
      <c r="AV219" s="0" t="s">
        <v>662</v>
      </c>
      <c r="AW219" s="0" t="s">
        <v>196</v>
      </c>
      <c r="AX219" s="0" t="s">
        <v>187</v>
      </c>
      <c r="AY219" s="0" t="s">
        <v>663</v>
      </c>
      <c r="AZ219" s="0" t="s">
        <v>664</v>
      </c>
      <c r="BA219" s="0" t="s">
        <v>572</v>
      </c>
      <c r="BB219" s="0" t="s">
        <v>196</v>
      </c>
      <c r="BC219" s="0" t="s">
        <v>665</v>
      </c>
      <c r="BI219" s="0" t="n">
        <v>16841000</v>
      </c>
      <c r="BJ219" s="0" t="n">
        <v>10331901.84</v>
      </c>
      <c r="BK219" s="0" t="s">
        <v>253</v>
      </c>
      <c r="BL219" s="0" t="s">
        <v>201</v>
      </c>
      <c r="BN219" s="0" t="n">
        <v>9.3</v>
      </c>
      <c r="BO219" s="0" t="n">
        <v>7.31</v>
      </c>
      <c r="BP219" s="0" t="s">
        <v>187</v>
      </c>
      <c r="BQ219" s="0" t="s">
        <v>187</v>
      </c>
      <c r="BR219" s="0" t="s">
        <v>203</v>
      </c>
      <c r="BS219" s="0" t="s">
        <v>670</v>
      </c>
      <c r="BT219" s="0" t="s">
        <v>216</v>
      </c>
      <c r="BU219" s="0" t="s">
        <v>269</v>
      </c>
      <c r="BW219" s="0" t="s">
        <v>206</v>
      </c>
      <c r="BX219" s="0" t="s">
        <v>217</v>
      </c>
      <c r="BY219" s="0" t="n">
        <v>140</v>
      </c>
      <c r="BZ219" s="0" t="n">
        <v>140</v>
      </c>
      <c r="CC219" s="0" t="s">
        <v>256</v>
      </c>
      <c r="CD219" s="0" t="s">
        <v>256</v>
      </c>
      <c r="CE219" s="0" t="s">
        <v>667</v>
      </c>
      <c r="CF219" s="0" t="s">
        <v>211</v>
      </c>
      <c r="CG219" s="0" t="s">
        <v>211</v>
      </c>
      <c r="CH219" s="1" t="n">
        <v>46112</v>
      </c>
      <c r="CI219" s="0" t="n">
        <v>1.2</v>
      </c>
      <c r="CJ219" s="0" t="n">
        <v>2.03</v>
      </c>
      <c r="CK219" s="0" t="n">
        <v>2.13</v>
      </c>
      <c r="CL219" s="0" t="s">
        <v>212</v>
      </c>
      <c r="DA219" s="0" t="n">
        <v>0.77</v>
      </c>
      <c r="DC219" s="0" t="n">
        <v>0.85</v>
      </c>
      <c r="DD219" s="0" t="s">
        <v>212</v>
      </c>
      <c r="ED219" s="0" t="s">
        <v>212</v>
      </c>
      <c r="EE219" s="0" t="n">
        <v>1.05</v>
      </c>
      <c r="EI219" s="0" t="n">
        <v>1.83</v>
      </c>
      <c r="FQ219" s="0" t="n">
        <v>43808741</v>
      </c>
    </row>
    <row r="220" customFormat="false" ht="15" hidden="false" customHeight="false" outlineLevel="0" collapsed="false">
      <c r="B220" s="0" t="str">
        <f aca="false">C220&amp;"x"&amp;I220</f>
        <v>61011x100248</v>
      </c>
      <c r="C220" s="0" t="n">
        <f aca="false">IF(G220="SINGLE",H220,G220)</f>
        <v>61011</v>
      </c>
      <c r="D220" s="0" t="e">
        <f aca="false">_xlfn.XLOOKUP(I220,calculations!$t:$t,calculations!$s:$s)</f>
        <v>#VALUE!</v>
      </c>
      <c r="E220" s="0" t="str">
        <f aca="false">_xlfn.XLOOKUP(I220,Mapping!$T:$T,Mapping!$Q:$Q)</f>
        <v>ROWA42</v>
      </c>
      <c r="F220" s="1" t="n">
        <v>46203</v>
      </c>
      <c r="G220" s="0" t="n">
        <v>61011</v>
      </c>
      <c r="H220" s="0" t="n">
        <v>61011</v>
      </c>
      <c r="I220" s="0" t="n">
        <v>100248</v>
      </c>
      <c r="J220" s="0" t="s">
        <v>659</v>
      </c>
      <c r="K220" s="0" t="s">
        <v>421</v>
      </c>
      <c r="L220" s="0" t="s">
        <v>421</v>
      </c>
      <c r="M220" s="0" t="s">
        <v>184</v>
      </c>
      <c r="N220" s="0" t="n">
        <v>8702000</v>
      </c>
      <c r="O220" s="0" t="n">
        <v>5338650.31</v>
      </c>
      <c r="P220" s="0" t="s">
        <v>185</v>
      </c>
      <c r="Q220" s="0" t="s">
        <v>227</v>
      </c>
      <c r="R220" s="0" t="s">
        <v>202</v>
      </c>
      <c r="S220" s="0" t="s">
        <v>660</v>
      </c>
      <c r="T220" s="0" t="s">
        <v>189</v>
      </c>
      <c r="U220" s="0" t="s">
        <v>571</v>
      </c>
      <c r="V220" s="0" t="s">
        <v>572</v>
      </c>
      <c r="W220" s="0" t="s">
        <v>434</v>
      </c>
      <c r="X220" s="0" t="s">
        <v>661</v>
      </c>
      <c r="Y220" s="0" t="n">
        <v>10.9</v>
      </c>
      <c r="Z220" s="0" t="s">
        <v>574</v>
      </c>
      <c r="AA220" s="0" t="n">
        <v>1.63</v>
      </c>
      <c r="AB220" s="0" t="s">
        <v>202</v>
      </c>
      <c r="AC220" s="0" t="n">
        <v>9425000</v>
      </c>
      <c r="AD220" s="0" t="n">
        <v>9425000</v>
      </c>
      <c r="AE220" s="0" t="n">
        <v>5782208.59</v>
      </c>
      <c r="AF220" s="0" t="n">
        <v>0.9233</v>
      </c>
      <c r="AG220" s="0" t="n">
        <v>8702000</v>
      </c>
      <c r="AH220" s="0" t="n">
        <v>8702000</v>
      </c>
      <c r="AI220" s="0" t="n">
        <v>723000</v>
      </c>
      <c r="AJ220" s="0" t="n">
        <v>9425000</v>
      </c>
      <c r="AK220" s="0" t="n">
        <v>8702000</v>
      </c>
      <c r="AL220" s="0" t="n">
        <v>8702000</v>
      </c>
      <c r="AN220" s="0" t="n">
        <v>3.704</v>
      </c>
      <c r="AO220" s="0" t="n">
        <v>3.106</v>
      </c>
      <c r="AP220" s="0" t="n">
        <v>4.431</v>
      </c>
      <c r="AQ220" s="0" t="n">
        <v>100</v>
      </c>
      <c r="AR220" s="0" t="n">
        <v>100</v>
      </c>
      <c r="AS220" s="1" t="n">
        <v>43211</v>
      </c>
      <c r="AT220" s="1" t="n">
        <v>48873</v>
      </c>
      <c r="AU220" s="1" t="n">
        <v>46295</v>
      </c>
      <c r="AV220" s="0" t="s">
        <v>662</v>
      </c>
      <c r="AW220" s="0" t="s">
        <v>196</v>
      </c>
      <c r="AX220" s="0" t="s">
        <v>187</v>
      </c>
      <c r="AY220" s="0" t="s">
        <v>663</v>
      </c>
      <c r="AZ220" s="0" t="s">
        <v>664</v>
      </c>
      <c r="BA220" s="0" t="s">
        <v>572</v>
      </c>
      <c r="BB220" s="0" t="s">
        <v>196</v>
      </c>
      <c r="BC220" s="0" t="s">
        <v>665</v>
      </c>
      <c r="BI220" s="0" t="n">
        <v>9425000</v>
      </c>
      <c r="BJ220" s="0" t="n">
        <v>5782208.59</v>
      </c>
      <c r="BK220" s="0" t="s">
        <v>253</v>
      </c>
      <c r="BL220" s="0" t="s">
        <v>201</v>
      </c>
      <c r="BN220" s="0" t="n">
        <v>9.3</v>
      </c>
      <c r="BO220" s="0" t="n">
        <v>7.31</v>
      </c>
      <c r="BP220" s="0" t="s">
        <v>187</v>
      </c>
      <c r="BQ220" s="0" t="s">
        <v>187</v>
      </c>
      <c r="BR220" s="0" t="s">
        <v>203</v>
      </c>
      <c r="BS220" s="0" t="s">
        <v>666</v>
      </c>
      <c r="BT220" s="0" t="s">
        <v>216</v>
      </c>
      <c r="BU220" s="0" t="s">
        <v>224</v>
      </c>
      <c r="BW220" s="0" t="s">
        <v>257</v>
      </c>
      <c r="BX220" s="0" t="s">
        <v>217</v>
      </c>
      <c r="BY220" s="0" t="n">
        <v>140</v>
      </c>
      <c r="BZ220" s="0" t="n">
        <v>140</v>
      </c>
      <c r="CC220" s="0" t="s">
        <v>256</v>
      </c>
      <c r="CD220" s="0" t="s">
        <v>256</v>
      </c>
      <c r="CE220" s="0" t="s">
        <v>667</v>
      </c>
      <c r="CF220" s="0" t="s">
        <v>211</v>
      </c>
      <c r="CG220" s="0" t="s">
        <v>211</v>
      </c>
      <c r="CH220" s="1" t="n">
        <v>46112</v>
      </c>
      <c r="CI220" s="0" t="n">
        <v>1.2</v>
      </c>
      <c r="CJ220" s="0" t="n">
        <v>2.22</v>
      </c>
      <c r="CK220" s="0" t="n">
        <v>2.33</v>
      </c>
      <c r="CL220" s="0" t="s">
        <v>212</v>
      </c>
      <c r="DA220" s="0" t="n">
        <v>0.46</v>
      </c>
      <c r="DC220" s="0" t="n">
        <v>0.85</v>
      </c>
      <c r="DD220" s="0" t="s">
        <v>212</v>
      </c>
      <c r="ED220" s="0" t="s">
        <v>212</v>
      </c>
      <c r="EE220" s="0" t="n">
        <v>1.05</v>
      </c>
      <c r="EI220" s="0" t="n">
        <v>1.32</v>
      </c>
      <c r="FQ220" s="0" t="n">
        <v>27060907</v>
      </c>
    </row>
    <row r="221" customFormat="false" ht="15" hidden="false" customHeight="false" outlineLevel="0" collapsed="false">
      <c r="B221" s="0" t="str">
        <f aca="false">C221&amp;"x"&amp;I221</f>
        <v>61011x100249</v>
      </c>
      <c r="C221" s="0" t="n">
        <f aca="false">IF(G221="SINGLE",H221,G221)</f>
        <v>61011</v>
      </c>
      <c r="D221" s="0" t="e">
        <f aca="false">_xlfn.XLOOKUP(I221,calculations!$t:$t,calculations!$s:$s)</f>
        <v>#VALUE!</v>
      </c>
      <c r="E221" s="0" t="str">
        <f aca="false">_xlfn.XLOOKUP(I221,Mapping!$T:$T,Mapping!$Q:$Q)</f>
        <v>ROWA42</v>
      </c>
      <c r="F221" s="1" t="n">
        <v>46203</v>
      </c>
      <c r="G221" s="0" t="n">
        <v>61011</v>
      </c>
      <c r="H221" s="0" t="n">
        <v>61011</v>
      </c>
      <c r="I221" s="0" t="n">
        <v>100249</v>
      </c>
      <c r="J221" s="0" t="s">
        <v>668</v>
      </c>
      <c r="K221" s="0" t="s">
        <v>421</v>
      </c>
      <c r="L221" s="0" t="s">
        <v>421</v>
      </c>
      <c r="M221" s="0" t="s">
        <v>184</v>
      </c>
      <c r="N221" s="0" t="n">
        <v>5801000</v>
      </c>
      <c r="O221" s="0" t="n">
        <v>3558895.71</v>
      </c>
      <c r="P221" s="0" t="s">
        <v>185</v>
      </c>
      <c r="Q221" s="0" t="s">
        <v>227</v>
      </c>
      <c r="R221" s="0" t="s">
        <v>202</v>
      </c>
      <c r="S221" s="0" t="s">
        <v>669</v>
      </c>
      <c r="T221" s="0" t="s">
        <v>189</v>
      </c>
      <c r="U221" s="0" t="s">
        <v>571</v>
      </c>
      <c r="V221" s="0" t="s">
        <v>572</v>
      </c>
      <c r="W221" s="0" t="s">
        <v>434</v>
      </c>
      <c r="X221" s="0" t="s">
        <v>661</v>
      </c>
      <c r="Y221" s="0" t="n">
        <v>10.9</v>
      </c>
      <c r="Z221" s="0" t="s">
        <v>574</v>
      </c>
      <c r="AA221" s="0" t="n">
        <v>1.63</v>
      </c>
      <c r="AB221" s="0" t="s">
        <v>202</v>
      </c>
      <c r="AC221" s="0" t="n">
        <v>6283000</v>
      </c>
      <c r="AD221" s="0" t="n">
        <v>6283000</v>
      </c>
      <c r="AE221" s="0" t="n">
        <v>3854601.23</v>
      </c>
      <c r="AF221" s="0" t="n">
        <v>0.9233</v>
      </c>
      <c r="AG221" s="0" t="n">
        <v>5801000</v>
      </c>
      <c r="AH221" s="0" t="n">
        <v>5801000</v>
      </c>
      <c r="AI221" s="0" t="n">
        <v>482000</v>
      </c>
      <c r="AJ221" s="0" t="n">
        <v>6283000</v>
      </c>
      <c r="AK221" s="0" t="n">
        <v>5801000</v>
      </c>
      <c r="AL221" s="0" t="n">
        <v>5801000</v>
      </c>
      <c r="AN221" s="0" t="n">
        <v>4.221</v>
      </c>
      <c r="AO221" s="0" t="n">
        <v>5.001</v>
      </c>
      <c r="AP221" s="0" t="n">
        <v>4.254</v>
      </c>
      <c r="AQ221" s="0" t="n">
        <v>100</v>
      </c>
      <c r="AR221" s="0" t="n">
        <v>100</v>
      </c>
      <c r="AS221" s="1" t="n">
        <v>43211</v>
      </c>
      <c r="AT221" s="1" t="n">
        <v>48873</v>
      </c>
      <c r="AU221" s="1" t="n">
        <v>46295</v>
      </c>
      <c r="AV221" s="0" t="s">
        <v>662</v>
      </c>
      <c r="AW221" s="0" t="s">
        <v>196</v>
      </c>
      <c r="AX221" s="0" t="s">
        <v>187</v>
      </c>
      <c r="AY221" s="0" t="s">
        <v>663</v>
      </c>
      <c r="AZ221" s="0" t="s">
        <v>664</v>
      </c>
      <c r="BA221" s="0" t="s">
        <v>572</v>
      </c>
      <c r="BB221" s="0" t="s">
        <v>196</v>
      </c>
      <c r="BC221" s="0" t="s">
        <v>665</v>
      </c>
      <c r="BI221" s="0" t="n">
        <v>6283000</v>
      </c>
      <c r="BJ221" s="0" t="n">
        <v>3854601.23</v>
      </c>
      <c r="BK221" s="0" t="s">
        <v>253</v>
      </c>
      <c r="BL221" s="0" t="s">
        <v>201</v>
      </c>
      <c r="BN221" s="0" t="n">
        <v>9.3</v>
      </c>
      <c r="BO221" s="0" t="n">
        <v>7.31</v>
      </c>
      <c r="BP221" s="0" t="s">
        <v>187</v>
      </c>
      <c r="BQ221" s="0" t="s">
        <v>187</v>
      </c>
      <c r="BR221" s="0" t="s">
        <v>203</v>
      </c>
      <c r="BS221" s="0" t="s">
        <v>670</v>
      </c>
      <c r="BT221" s="0" t="s">
        <v>216</v>
      </c>
      <c r="BU221" s="0" t="s">
        <v>224</v>
      </c>
      <c r="BW221" s="0" t="s">
        <v>257</v>
      </c>
      <c r="BX221" s="0" t="s">
        <v>207</v>
      </c>
      <c r="BY221" s="0" t="n">
        <v>140</v>
      </c>
      <c r="BZ221" s="0" t="n">
        <v>140</v>
      </c>
      <c r="CC221" s="0" t="s">
        <v>256</v>
      </c>
      <c r="CD221" s="0" t="s">
        <v>256</v>
      </c>
      <c r="CE221" s="0" t="s">
        <v>667</v>
      </c>
      <c r="CF221" s="0" t="s">
        <v>211</v>
      </c>
      <c r="CG221" s="0" t="s">
        <v>211</v>
      </c>
      <c r="CH221" s="1" t="n">
        <v>46112</v>
      </c>
      <c r="CI221" s="0" t="n">
        <v>1.2</v>
      </c>
      <c r="CJ221" s="0" t="n">
        <v>1.62</v>
      </c>
      <c r="CK221" s="0" t="n">
        <v>1.7</v>
      </c>
      <c r="CL221" s="0" t="s">
        <v>212</v>
      </c>
      <c r="DA221" s="0" t="n">
        <v>0.69</v>
      </c>
      <c r="DC221" s="0" t="n">
        <v>0.85</v>
      </c>
      <c r="DD221" s="0" t="s">
        <v>212</v>
      </c>
      <c r="ED221" s="0" t="s">
        <v>212</v>
      </c>
      <c r="EE221" s="0" t="n">
        <v>1.05</v>
      </c>
      <c r="EI221" s="0" t="n">
        <v>1.41</v>
      </c>
      <c r="FQ221" s="0" t="n">
        <v>37621948</v>
      </c>
    </row>
    <row r="222" customFormat="false" ht="15" hidden="false" customHeight="false" outlineLevel="0" collapsed="false">
      <c r="B222" s="0" t="str">
        <f aca="false">C222&amp;"x"&amp;I222</f>
        <v>61008x100250</v>
      </c>
      <c r="C222" s="0" t="n">
        <f aca="false">IF(G222="SINGLE",H222,G222)</f>
        <v>61008</v>
      </c>
      <c r="D222" s="0" t="e">
        <f aca="false">_xlfn.XLOOKUP(I222,calculations!$t:$t,calculations!$s:$s)</f>
        <v>#VALUE!</v>
      </c>
      <c r="E222" s="0" t="str">
        <f aca="false">_xlfn.XLOOKUP(I222,Mapping!$T:$T,Mapping!$Q:$Q)</f>
        <v>SABL43</v>
      </c>
      <c r="F222" s="1" t="n">
        <v>46203</v>
      </c>
      <c r="G222" s="0" t="n">
        <v>61008</v>
      </c>
      <c r="H222" s="0" t="n">
        <v>61008</v>
      </c>
      <c r="I222" s="0" t="n">
        <v>100250</v>
      </c>
      <c r="J222" s="0" t="s">
        <v>671</v>
      </c>
      <c r="K222" s="0" t="s">
        <v>277</v>
      </c>
      <c r="L222" s="0" t="s">
        <v>277</v>
      </c>
      <c r="M222" s="0" t="s">
        <v>184</v>
      </c>
      <c r="N222" s="0" t="n">
        <v>69885000</v>
      </c>
      <c r="O222" s="0" t="n">
        <v>69885000</v>
      </c>
      <c r="P222" s="0" t="s">
        <v>185</v>
      </c>
      <c r="Q222" s="0" t="s">
        <v>227</v>
      </c>
      <c r="R222" s="0" t="s">
        <v>202</v>
      </c>
      <c r="S222" s="0" t="s">
        <v>672</v>
      </c>
      <c r="T222" s="0" t="s">
        <v>189</v>
      </c>
      <c r="U222" s="0" t="s">
        <v>367</v>
      </c>
      <c r="V222" s="0" t="s">
        <v>368</v>
      </c>
      <c r="W222" s="0" t="s">
        <v>381</v>
      </c>
      <c r="X222" s="0" t="s">
        <v>673</v>
      </c>
      <c r="Y222" s="0" t="n">
        <v>9.6</v>
      </c>
      <c r="Z222" s="0" t="s">
        <v>185</v>
      </c>
      <c r="AA222" s="0" t="n">
        <v>1</v>
      </c>
      <c r="AB222" s="0" t="s">
        <v>187</v>
      </c>
      <c r="AC222" s="0" t="n">
        <v>71628000</v>
      </c>
      <c r="AD222" s="0" t="n">
        <v>71628000</v>
      </c>
      <c r="AE222" s="0" t="n">
        <v>71628000</v>
      </c>
      <c r="AF222" s="0" t="n">
        <v>0.9757</v>
      </c>
      <c r="AG222" s="0" t="n">
        <v>69885000</v>
      </c>
      <c r="AH222" s="0" t="n">
        <v>69885000</v>
      </c>
      <c r="AI222" s="0" t="n">
        <v>1743000</v>
      </c>
      <c r="AJ222" s="0" t="n">
        <v>71628000</v>
      </c>
      <c r="AK222" s="0" t="n">
        <v>69885000</v>
      </c>
      <c r="AL222" s="0" t="n">
        <v>69885000</v>
      </c>
      <c r="AN222" s="0" t="n">
        <v>6.087</v>
      </c>
      <c r="AO222" s="0" t="n">
        <v>3.158</v>
      </c>
      <c r="AP222" s="0" t="n">
        <v>5.038</v>
      </c>
      <c r="AQ222" s="0" t="n">
        <v>100</v>
      </c>
      <c r="AR222" s="0" t="n">
        <v>100</v>
      </c>
      <c r="AS222" s="1" t="n">
        <v>43274</v>
      </c>
      <c r="AT222" s="1" t="n">
        <v>48753</v>
      </c>
      <c r="AU222" s="1" t="n">
        <v>46295</v>
      </c>
      <c r="AV222" s="0" t="s">
        <v>674</v>
      </c>
      <c r="AW222" s="0" t="s">
        <v>234</v>
      </c>
      <c r="AX222" s="0" t="s">
        <v>187</v>
      </c>
      <c r="AY222" s="0" t="s">
        <v>675</v>
      </c>
      <c r="AZ222" s="0" t="s">
        <v>676</v>
      </c>
      <c r="BA222" s="0" t="s">
        <v>368</v>
      </c>
      <c r="BB222" s="0" t="s">
        <v>234</v>
      </c>
      <c r="BC222" s="0" t="s">
        <v>677</v>
      </c>
      <c r="BI222" s="0" t="n">
        <v>71628000</v>
      </c>
      <c r="BJ222" s="0" t="n">
        <v>71628000</v>
      </c>
      <c r="BK222" s="0" t="s">
        <v>253</v>
      </c>
      <c r="BL222" s="0" t="s">
        <v>201</v>
      </c>
      <c r="BN222" s="0" t="n">
        <v>9</v>
      </c>
      <c r="BO222" s="0" t="n">
        <v>6.98</v>
      </c>
      <c r="BP222" s="0" t="s">
        <v>187</v>
      </c>
      <c r="BQ222" s="0" t="s">
        <v>187</v>
      </c>
      <c r="BR222" s="0" t="s">
        <v>203</v>
      </c>
      <c r="BS222" s="0" t="s">
        <v>678</v>
      </c>
      <c r="BT222" s="0" t="s">
        <v>269</v>
      </c>
      <c r="BU222" s="0" t="s">
        <v>216</v>
      </c>
      <c r="BW222" s="0" t="s">
        <v>206</v>
      </c>
      <c r="BX222" s="0" t="s">
        <v>207</v>
      </c>
      <c r="BY222" s="0" t="n">
        <v>310</v>
      </c>
      <c r="BZ222" s="0" t="n">
        <v>310</v>
      </c>
      <c r="CC222" s="0" t="s">
        <v>210</v>
      </c>
      <c r="CD222" s="0" t="s">
        <v>210</v>
      </c>
      <c r="CE222" s="0" t="s">
        <v>211</v>
      </c>
      <c r="CF222" s="0" t="s">
        <v>211</v>
      </c>
      <c r="CG222" s="0" t="s">
        <v>211</v>
      </c>
      <c r="CH222" s="1" t="n">
        <v>46112</v>
      </c>
      <c r="CI222" s="0" t="n">
        <v>1.2</v>
      </c>
      <c r="CJ222" s="0" t="n">
        <v>1.89</v>
      </c>
      <c r="CK222" s="0" t="n">
        <v>1.98</v>
      </c>
      <c r="CL222" s="0" t="s">
        <v>212</v>
      </c>
      <c r="DA222" s="0" t="n">
        <v>0.85</v>
      </c>
      <c r="DC222" s="0" t="n">
        <v>0.85</v>
      </c>
      <c r="DD222" s="0" t="s">
        <v>213</v>
      </c>
      <c r="ED222" s="0" t="s">
        <v>212</v>
      </c>
      <c r="EE222" s="0" t="n">
        <v>1.05</v>
      </c>
      <c r="EI222" s="0" t="n">
        <v>1.96</v>
      </c>
      <c r="FQ222" s="0" t="n">
        <v>41717184</v>
      </c>
    </row>
    <row r="223" customFormat="false" ht="15" hidden="false" customHeight="false" outlineLevel="0" collapsed="false">
      <c r="B223" s="0" t="str">
        <f aca="false">C223&amp;"x"&amp;I223</f>
        <v>61003x100250</v>
      </c>
      <c r="C223" s="0" t="n">
        <f aca="false">IF(G223="SINGLE",H223,G223)</f>
        <v>61003</v>
      </c>
      <c r="D223" s="0" t="e">
        <f aca="false">_xlfn.XLOOKUP(I223,calculations!$t:$t,calculations!$s:$s)</f>
        <v>#VALUE!</v>
      </c>
      <c r="E223" s="0" t="str">
        <f aca="false">_xlfn.XLOOKUP(I223,Mapping!$T:$T,Mapping!$Q:$Q)</f>
        <v>SABL43</v>
      </c>
      <c r="F223" s="1" t="n">
        <v>46203</v>
      </c>
      <c r="G223" s="0" t="n">
        <v>61003</v>
      </c>
      <c r="H223" s="0" t="n">
        <v>61003</v>
      </c>
      <c r="I223" s="0" t="n">
        <v>100250</v>
      </c>
      <c r="J223" s="0" t="s">
        <v>671</v>
      </c>
      <c r="K223" s="0" t="s">
        <v>226</v>
      </c>
      <c r="L223" s="0" t="s">
        <v>226</v>
      </c>
      <c r="M223" s="0" t="s">
        <v>184</v>
      </c>
      <c r="N223" s="0" t="n">
        <v>39192000</v>
      </c>
      <c r="O223" s="0" t="n">
        <v>39192000</v>
      </c>
      <c r="P223" s="0" t="s">
        <v>185</v>
      </c>
      <c r="Q223" s="0" t="s">
        <v>227</v>
      </c>
      <c r="R223" s="0" t="s">
        <v>202</v>
      </c>
      <c r="S223" s="0" t="s">
        <v>672</v>
      </c>
      <c r="T223" s="0" t="s">
        <v>189</v>
      </c>
      <c r="U223" s="0" t="s">
        <v>367</v>
      </c>
      <c r="V223" s="0" t="s">
        <v>368</v>
      </c>
      <c r="W223" s="0" t="s">
        <v>381</v>
      </c>
      <c r="X223" s="0" t="s">
        <v>673</v>
      </c>
      <c r="Y223" s="0" t="n">
        <v>9.6</v>
      </c>
      <c r="Z223" s="0" t="s">
        <v>185</v>
      </c>
      <c r="AA223" s="0" t="n">
        <v>1</v>
      </c>
      <c r="AB223" s="0" t="s">
        <v>187</v>
      </c>
      <c r="AC223" s="0" t="n">
        <v>40169000</v>
      </c>
      <c r="AD223" s="0" t="n">
        <v>40169000</v>
      </c>
      <c r="AE223" s="0" t="n">
        <v>40169000</v>
      </c>
      <c r="AF223" s="0" t="n">
        <v>0.9757</v>
      </c>
      <c r="AG223" s="0" t="n">
        <v>39192000</v>
      </c>
      <c r="AH223" s="0" t="n">
        <v>39192000</v>
      </c>
      <c r="AI223" s="0" t="n">
        <v>977000</v>
      </c>
      <c r="AJ223" s="0" t="n">
        <v>40169000</v>
      </c>
      <c r="AK223" s="0" t="n">
        <v>39192000</v>
      </c>
      <c r="AL223" s="0" t="n">
        <v>39192000</v>
      </c>
      <c r="AN223" s="0" t="n">
        <v>5.784</v>
      </c>
      <c r="AO223" s="0" t="n">
        <v>3.082</v>
      </c>
      <c r="AP223" s="0" t="n">
        <v>3.657</v>
      </c>
      <c r="AQ223" s="0" t="n">
        <v>100</v>
      </c>
      <c r="AR223" s="0" t="n">
        <v>100</v>
      </c>
      <c r="AS223" s="1" t="n">
        <v>43274</v>
      </c>
      <c r="AT223" s="1" t="n">
        <v>48753</v>
      </c>
      <c r="AU223" s="1" t="n">
        <v>46295</v>
      </c>
      <c r="AV223" s="0" t="s">
        <v>674</v>
      </c>
      <c r="AW223" s="0" t="s">
        <v>234</v>
      </c>
      <c r="AX223" s="0" t="s">
        <v>187</v>
      </c>
      <c r="AY223" s="0" t="s">
        <v>675</v>
      </c>
      <c r="AZ223" s="0" t="s">
        <v>676</v>
      </c>
      <c r="BA223" s="0" t="s">
        <v>368</v>
      </c>
      <c r="BB223" s="0" t="s">
        <v>234</v>
      </c>
      <c r="BC223" s="0" t="s">
        <v>677</v>
      </c>
      <c r="BI223" s="0" t="n">
        <v>40169000</v>
      </c>
      <c r="BJ223" s="0" t="n">
        <v>40169000</v>
      </c>
      <c r="BK223" s="0" t="s">
        <v>253</v>
      </c>
      <c r="BL223" s="0" t="s">
        <v>201</v>
      </c>
      <c r="BN223" s="0" t="n">
        <v>9</v>
      </c>
      <c r="BO223" s="0" t="n">
        <v>6.98</v>
      </c>
      <c r="BP223" s="0" t="s">
        <v>187</v>
      </c>
      <c r="BQ223" s="0" t="s">
        <v>187</v>
      </c>
      <c r="BR223" s="0" t="s">
        <v>203</v>
      </c>
      <c r="BS223" s="0" t="s">
        <v>678</v>
      </c>
      <c r="BT223" s="0" t="s">
        <v>269</v>
      </c>
      <c r="BU223" s="0" t="s">
        <v>220</v>
      </c>
      <c r="BW223" s="0" t="s">
        <v>257</v>
      </c>
      <c r="BX223" s="0" t="s">
        <v>217</v>
      </c>
      <c r="BY223" s="0" t="n">
        <v>310</v>
      </c>
      <c r="BZ223" s="0" t="n">
        <v>310</v>
      </c>
      <c r="CC223" s="0" t="s">
        <v>210</v>
      </c>
      <c r="CD223" s="0" t="s">
        <v>210</v>
      </c>
      <c r="CE223" s="0" t="s">
        <v>211</v>
      </c>
      <c r="CF223" s="0" t="s">
        <v>211</v>
      </c>
      <c r="CG223" s="0" t="s">
        <v>211</v>
      </c>
      <c r="CH223" s="1" t="n">
        <v>46112</v>
      </c>
      <c r="CI223" s="0" t="n">
        <v>1.2</v>
      </c>
      <c r="CJ223" s="0" t="n">
        <v>2.04</v>
      </c>
      <c r="CK223" s="0" t="n">
        <v>2.14</v>
      </c>
      <c r="CL223" s="0" t="s">
        <v>212</v>
      </c>
      <c r="DA223" s="0" t="n">
        <v>0.77</v>
      </c>
      <c r="DC223" s="0" t="n">
        <v>0.85</v>
      </c>
      <c r="DD223" s="0" t="s">
        <v>212</v>
      </c>
      <c r="ED223" s="0" t="s">
        <v>213</v>
      </c>
      <c r="EE223" s="0" t="n">
        <v>1.05</v>
      </c>
      <c r="EI223" s="0" t="n">
        <v>1.19</v>
      </c>
      <c r="FQ223" s="0" t="n">
        <v>30938448</v>
      </c>
    </row>
    <row r="224" customFormat="false" ht="15" hidden="false" customHeight="false" outlineLevel="0" collapsed="false">
      <c r="B224" s="0" t="str">
        <f aca="false">C224&amp;"x"&amp;I224</f>
        <v>61012x100250</v>
      </c>
      <c r="C224" s="0" t="n">
        <f aca="false">IF(G224="SINGLE",H224,G224)</f>
        <v>61012</v>
      </c>
      <c r="D224" s="0" t="e">
        <f aca="false">_xlfn.XLOOKUP(I224,calculations!$t:$t,calculations!$s:$s)</f>
        <v>#VALUE!</v>
      </c>
      <c r="E224" s="0" t="str">
        <f aca="false">_xlfn.XLOOKUP(I224,Mapping!$T:$T,Mapping!$Q:$Q)</f>
        <v>SABL43</v>
      </c>
      <c r="F224" s="1" t="n">
        <v>46203</v>
      </c>
      <c r="G224" s="0" t="n">
        <v>61012</v>
      </c>
      <c r="H224" s="0" t="n">
        <v>61012</v>
      </c>
      <c r="I224" s="0" t="n">
        <v>100250</v>
      </c>
      <c r="J224" s="0" t="s">
        <v>671</v>
      </c>
      <c r="K224" s="0" t="s">
        <v>332</v>
      </c>
      <c r="L224" s="0" t="s">
        <v>332</v>
      </c>
      <c r="M224" s="0" t="s">
        <v>184</v>
      </c>
      <c r="N224" s="0" t="n">
        <v>65872000</v>
      </c>
      <c r="O224" s="0" t="n">
        <v>65872000</v>
      </c>
      <c r="P224" s="0" t="s">
        <v>219</v>
      </c>
      <c r="Q224" s="0" t="s">
        <v>227</v>
      </c>
      <c r="R224" s="0" t="s">
        <v>202</v>
      </c>
      <c r="S224" s="0" t="s">
        <v>672</v>
      </c>
      <c r="T224" s="0" t="s">
        <v>189</v>
      </c>
      <c r="U224" s="0" t="s">
        <v>367</v>
      </c>
      <c r="V224" s="0" t="s">
        <v>368</v>
      </c>
      <c r="W224" s="0" t="s">
        <v>381</v>
      </c>
      <c r="X224" s="0" t="s">
        <v>673</v>
      </c>
      <c r="Y224" s="0" t="n">
        <v>9.6</v>
      </c>
      <c r="Z224" s="0" t="s">
        <v>185</v>
      </c>
      <c r="AA224" s="0" t="n">
        <v>1</v>
      </c>
      <c r="AB224" s="0" t="s">
        <v>187</v>
      </c>
      <c r="AC224" s="0" t="n">
        <v>67515000</v>
      </c>
      <c r="AD224" s="0" t="n">
        <v>67515000</v>
      </c>
      <c r="AE224" s="0" t="n">
        <v>67515000</v>
      </c>
      <c r="AF224" s="0" t="n">
        <v>0.9757</v>
      </c>
      <c r="AG224" s="0" t="n">
        <v>65872000</v>
      </c>
      <c r="AH224" s="0" t="n">
        <v>65872000</v>
      </c>
      <c r="AI224" s="0" t="n">
        <v>1643000</v>
      </c>
      <c r="AJ224" s="0" t="n">
        <v>67515000</v>
      </c>
      <c r="AK224" s="0" t="n">
        <v>65872000</v>
      </c>
      <c r="AL224" s="0" t="n">
        <v>65872000</v>
      </c>
      <c r="AN224" s="0" t="n">
        <v>6.185</v>
      </c>
      <c r="AO224" s="0" t="n">
        <v>3.757</v>
      </c>
      <c r="AP224" s="0" t="n">
        <v>3.036</v>
      </c>
      <c r="AQ224" s="0" t="n">
        <v>100</v>
      </c>
      <c r="AR224" s="0" t="n">
        <v>100</v>
      </c>
      <c r="AS224" s="1" t="n">
        <v>43274</v>
      </c>
      <c r="AT224" s="1" t="n">
        <v>48753</v>
      </c>
      <c r="AU224" s="1" t="n">
        <v>46295</v>
      </c>
      <c r="AV224" s="0" t="s">
        <v>674</v>
      </c>
      <c r="AW224" s="0" t="s">
        <v>234</v>
      </c>
      <c r="AX224" s="0" t="s">
        <v>187</v>
      </c>
      <c r="AY224" s="0" t="s">
        <v>675</v>
      </c>
      <c r="AZ224" s="0" t="s">
        <v>676</v>
      </c>
      <c r="BA224" s="0" t="s">
        <v>368</v>
      </c>
      <c r="BB224" s="0" t="s">
        <v>234</v>
      </c>
      <c r="BC224" s="0" t="s">
        <v>677</v>
      </c>
      <c r="BI224" s="0" t="n">
        <v>67515000</v>
      </c>
      <c r="BJ224" s="0" t="n">
        <v>67515000</v>
      </c>
      <c r="BK224" s="0" t="s">
        <v>253</v>
      </c>
      <c r="BL224" s="0" t="s">
        <v>201</v>
      </c>
      <c r="BN224" s="0" t="n">
        <v>9</v>
      </c>
      <c r="BO224" s="0" t="n">
        <v>6.98</v>
      </c>
      <c r="BP224" s="0" t="s">
        <v>187</v>
      </c>
      <c r="BQ224" s="0" t="s">
        <v>187</v>
      </c>
      <c r="BR224" s="0" t="s">
        <v>203</v>
      </c>
      <c r="BS224" s="0" t="s">
        <v>678</v>
      </c>
      <c r="BT224" s="0" t="s">
        <v>269</v>
      </c>
      <c r="BU224" s="0" t="s">
        <v>216</v>
      </c>
      <c r="BW224" s="0" t="s">
        <v>257</v>
      </c>
      <c r="BX224" s="0" t="s">
        <v>207</v>
      </c>
      <c r="BY224" s="0" t="n">
        <v>310</v>
      </c>
      <c r="BZ224" s="0" t="n">
        <v>310</v>
      </c>
      <c r="CC224" s="0" t="s">
        <v>210</v>
      </c>
      <c r="CD224" s="0" t="s">
        <v>210</v>
      </c>
      <c r="CE224" s="0" t="s">
        <v>211</v>
      </c>
      <c r="CF224" s="0" t="s">
        <v>211</v>
      </c>
      <c r="CG224" s="0" t="s">
        <v>211</v>
      </c>
      <c r="CH224" s="1" t="n">
        <v>46112</v>
      </c>
      <c r="CI224" s="0" t="n">
        <v>1.2</v>
      </c>
      <c r="CJ224" s="0" t="n">
        <v>2.85</v>
      </c>
      <c r="CK224" s="0" t="n">
        <v>2.99</v>
      </c>
      <c r="CL224" s="0" t="s">
        <v>212</v>
      </c>
      <c r="DA224" s="0" t="n">
        <v>0.85</v>
      </c>
      <c r="DC224" s="0" t="n">
        <v>0.85</v>
      </c>
      <c r="DD224" s="0" t="s">
        <v>213</v>
      </c>
      <c r="ED224" s="0" t="s">
        <v>212</v>
      </c>
      <c r="EE224" s="0" t="n">
        <v>1.05</v>
      </c>
      <c r="EI224" s="0" t="n">
        <v>1.47</v>
      </c>
      <c r="FQ224" s="0" t="n">
        <v>50158178</v>
      </c>
    </row>
    <row r="225" customFormat="false" ht="15" hidden="false" customHeight="false" outlineLevel="0" collapsed="false">
      <c r="B225" s="0" t="str">
        <f aca="false">C225&amp;"x"&amp;I225</f>
        <v>61011x100250</v>
      </c>
      <c r="C225" s="0" t="n">
        <f aca="false">IF(G225="SINGLE",H225,G225)</f>
        <v>61011</v>
      </c>
      <c r="D225" s="0" t="e">
        <f aca="false">_xlfn.XLOOKUP(I225,calculations!$t:$t,calculations!$s:$s)</f>
        <v>#VALUE!</v>
      </c>
      <c r="E225" s="0" t="str">
        <f aca="false">_xlfn.XLOOKUP(I225,Mapping!$T:$T,Mapping!$Q:$Q)</f>
        <v>SABL43</v>
      </c>
      <c r="F225" s="1" t="n">
        <v>46203</v>
      </c>
      <c r="G225" s="0" t="n">
        <v>61011</v>
      </c>
      <c r="H225" s="0" t="n">
        <v>61011</v>
      </c>
      <c r="I225" s="0" t="n">
        <v>100250</v>
      </c>
      <c r="J225" s="0" t="s">
        <v>671</v>
      </c>
      <c r="K225" s="0" t="s">
        <v>421</v>
      </c>
      <c r="L225" s="0" t="s">
        <v>421</v>
      </c>
      <c r="M225" s="0" t="s">
        <v>184</v>
      </c>
      <c r="N225" s="0" t="n">
        <v>19152000</v>
      </c>
      <c r="O225" s="0" t="n">
        <v>19152000</v>
      </c>
      <c r="P225" s="0" t="s">
        <v>185</v>
      </c>
      <c r="Q225" s="0" t="s">
        <v>227</v>
      </c>
      <c r="R225" s="0" t="s">
        <v>202</v>
      </c>
      <c r="S225" s="0" t="s">
        <v>672</v>
      </c>
      <c r="T225" s="0" t="s">
        <v>189</v>
      </c>
      <c r="U225" s="0" t="s">
        <v>367</v>
      </c>
      <c r="V225" s="0" t="s">
        <v>368</v>
      </c>
      <c r="W225" s="0" t="s">
        <v>381</v>
      </c>
      <c r="X225" s="0" t="s">
        <v>673</v>
      </c>
      <c r="Y225" s="0" t="n">
        <v>9.6</v>
      </c>
      <c r="Z225" s="0" t="s">
        <v>185</v>
      </c>
      <c r="AA225" s="0" t="n">
        <v>1</v>
      </c>
      <c r="AB225" s="0" t="s">
        <v>187</v>
      </c>
      <c r="AC225" s="0" t="n">
        <v>19630000</v>
      </c>
      <c r="AD225" s="0" t="n">
        <v>19630000</v>
      </c>
      <c r="AE225" s="0" t="n">
        <v>19630000</v>
      </c>
      <c r="AF225" s="0" t="n">
        <v>0.9756</v>
      </c>
      <c r="AG225" s="0" t="n">
        <v>19152000</v>
      </c>
      <c r="AH225" s="0" t="n">
        <v>19152000</v>
      </c>
      <c r="AI225" s="0" t="n">
        <v>478000</v>
      </c>
      <c r="AJ225" s="0" t="n">
        <v>19630000</v>
      </c>
      <c r="AK225" s="0" t="n">
        <v>19152000</v>
      </c>
      <c r="AL225" s="0" t="n">
        <v>19152000</v>
      </c>
      <c r="AN225" s="0" t="n">
        <v>5.886</v>
      </c>
      <c r="AO225" s="0" t="n">
        <v>5.735</v>
      </c>
      <c r="AP225" s="0" t="n">
        <v>5.43</v>
      </c>
      <c r="AQ225" s="0" t="n">
        <v>100</v>
      </c>
      <c r="AR225" s="0" t="n">
        <v>100</v>
      </c>
      <c r="AS225" s="1" t="n">
        <v>43274</v>
      </c>
      <c r="AT225" s="1" t="n">
        <v>48753</v>
      </c>
      <c r="AU225" s="1" t="n">
        <v>46295</v>
      </c>
      <c r="AV225" s="0" t="s">
        <v>674</v>
      </c>
      <c r="AW225" s="0" t="s">
        <v>234</v>
      </c>
      <c r="AX225" s="0" t="s">
        <v>187</v>
      </c>
      <c r="AY225" s="0" t="s">
        <v>675</v>
      </c>
      <c r="AZ225" s="0" t="s">
        <v>676</v>
      </c>
      <c r="BA225" s="0" t="s">
        <v>368</v>
      </c>
      <c r="BB225" s="0" t="s">
        <v>234</v>
      </c>
      <c r="BC225" s="0" t="s">
        <v>677</v>
      </c>
      <c r="BI225" s="0" t="n">
        <v>19630000</v>
      </c>
      <c r="BJ225" s="0" t="n">
        <v>19630000</v>
      </c>
      <c r="BK225" s="0" t="s">
        <v>253</v>
      </c>
      <c r="BL225" s="0" t="s">
        <v>201</v>
      </c>
      <c r="BN225" s="0" t="n">
        <v>9</v>
      </c>
      <c r="BO225" s="0" t="n">
        <v>6.98</v>
      </c>
      <c r="BP225" s="0" t="s">
        <v>187</v>
      </c>
      <c r="BQ225" s="0" t="s">
        <v>187</v>
      </c>
      <c r="BR225" s="0" t="s">
        <v>203</v>
      </c>
      <c r="BS225" s="0" t="s">
        <v>678</v>
      </c>
      <c r="BT225" s="0" t="s">
        <v>269</v>
      </c>
      <c r="BU225" s="0" t="s">
        <v>224</v>
      </c>
      <c r="BW225" s="0" t="s">
        <v>257</v>
      </c>
      <c r="BX225" s="0" t="s">
        <v>207</v>
      </c>
      <c r="BY225" s="0" t="n">
        <v>310</v>
      </c>
      <c r="BZ225" s="0" t="n">
        <v>310</v>
      </c>
      <c r="CC225" s="0" t="s">
        <v>210</v>
      </c>
      <c r="CD225" s="0" t="s">
        <v>210</v>
      </c>
      <c r="CE225" s="0" t="s">
        <v>211</v>
      </c>
      <c r="CF225" s="0" t="s">
        <v>211</v>
      </c>
      <c r="CG225" s="0" t="s">
        <v>211</v>
      </c>
      <c r="CH225" s="1" t="n">
        <v>46112</v>
      </c>
      <c r="CI225" s="0" t="n">
        <v>1.2</v>
      </c>
      <c r="CJ225" s="0" t="n">
        <v>2.36</v>
      </c>
      <c r="CK225" s="0" t="n">
        <v>2.48</v>
      </c>
      <c r="CL225" s="0" t="s">
        <v>212</v>
      </c>
      <c r="DA225" s="0" t="n">
        <v>0.72</v>
      </c>
      <c r="DC225" s="0" t="n">
        <v>0.85</v>
      </c>
      <c r="DD225" s="0" t="s">
        <v>212</v>
      </c>
      <c r="ED225" s="0" t="s">
        <v>212</v>
      </c>
      <c r="EE225" s="0" t="n">
        <v>1.05</v>
      </c>
      <c r="EI225" s="0" t="n">
        <v>1.45</v>
      </c>
      <c r="FQ225" s="0" t="n">
        <v>48949498</v>
      </c>
    </row>
    <row r="226" customFormat="false" ht="15" hidden="false" customHeight="false" outlineLevel="0" collapsed="false">
      <c r="B226" s="0" t="str">
        <f aca="false">C226&amp;"x"&amp;I226</f>
        <v>61008x100251</v>
      </c>
      <c r="C226" s="0" t="n">
        <f aca="false">IF(G226="SINGLE",H226,G226)</f>
        <v>61008</v>
      </c>
      <c r="D226" s="0" t="e">
        <f aca="false">_xlfn.XLOOKUP(I226,calculations!$t:$t,calculations!$s:$s)</f>
        <v>#VALUE!</v>
      </c>
      <c r="E226" s="0" t="str">
        <f aca="false">_xlfn.XLOOKUP(I226,Mapping!$T:$T,Mapping!$Q:$Q)</f>
        <v>TUND44</v>
      </c>
      <c r="F226" s="1" t="n">
        <v>46203</v>
      </c>
      <c r="G226" s="0" t="n">
        <v>61008</v>
      </c>
      <c r="H226" s="0" t="n">
        <v>61008</v>
      </c>
      <c r="I226" s="0" t="n">
        <v>100251</v>
      </c>
      <c r="J226" s="0" t="s">
        <v>679</v>
      </c>
      <c r="K226" s="0" t="s">
        <v>277</v>
      </c>
      <c r="L226" s="0" t="s">
        <v>277</v>
      </c>
      <c r="M226" s="0" t="s">
        <v>184</v>
      </c>
      <c r="N226" s="0" t="n">
        <v>24423000</v>
      </c>
      <c r="O226" s="0" t="n">
        <v>28564912.28</v>
      </c>
      <c r="P226" s="0" t="s">
        <v>185</v>
      </c>
      <c r="Q226" s="0" t="s">
        <v>227</v>
      </c>
      <c r="R226" s="0" t="s">
        <v>202</v>
      </c>
      <c r="S226" s="0" t="s">
        <v>680</v>
      </c>
      <c r="T226" s="0" t="s">
        <v>189</v>
      </c>
      <c r="U226" s="0" t="s">
        <v>229</v>
      </c>
      <c r="V226" s="0" t="s">
        <v>230</v>
      </c>
      <c r="W226" s="0" t="s">
        <v>518</v>
      </c>
      <c r="X226" s="0" t="s">
        <v>681</v>
      </c>
      <c r="Y226" s="0" t="n">
        <v>8.1</v>
      </c>
      <c r="Z226" s="0" t="s">
        <v>219</v>
      </c>
      <c r="AA226" s="0" t="n">
        <v>0.855</v>
      </c>
      <c r="AB226" s="0" t="s">
        <v>202</v>
      </c>
      <c r="AC226" s="0" t="n">
        <v>25406000</v>
      </c>
      <c r="AD226" s="0" t="n">
        <v>25406000</v>
      </c>
      <c r="AE226" s="0" t="n">
        <v>29714619.88</v>
      </c>
      <c r="AF226" s="0" t="n">
        <v>0.9613</v>
      </c>
      <c r="AG226" s="0" t="n">
        <v>24423000</v>
      </c>
      <c r="AH226" s="0" t="n">
        <v>24423000</v>
      </c>
      <c r="AI226" s="0" t="n">
        <v>983000</v>
      </c>
      <c r="AJ226" s="0" t="n">
        <v>25406000</v>
      </c>
      <c r="AK226" s="0" t="n">
        <v>24423000</v>
      </c>
      <c r="AL226" s="0" t="n">
        <v>24423000</v>
      </c>
      <c r="AM226" s="0" t="s">
        <v>194</v>
      </c>
      <c r="AN226" s="0" t="n">
        <v>2.894</v>
      </c>
      <c r="AO226" s="0" t="n">
        <v>6.166</v>
      </c>
      <c r="AP226" s="0" t="n">
        <v>6.472</v>
      </c>
      <c r="AQ226" s="0" t="n">
        <v>100</v>
      </c>
      <c r="AR226" s="0" t="n">
        <v>100</v>
      </c>
      <c r="AS226" s="1" t="n">
        <v>42780</v>
      </c>
      <c r="AT226" s="1" t="n">
        <v>46979</v>
      </c>
      <c r="AU226" s="1" t="n">
        <v>46295</v>
      </c>
      <c r="AV226" s="0" t="s">
        <v>682</v>
      </c>
      <c r="AW226" s="0" t="s">
        <v>384</v>
      </c>
      <c r="AX226" s="0" t="s">
        <v>187</v>
      </c>
      <c r="AY226" s="0" t="s">
        <v>683</v>
      </c>
      <c r="AZ226" s="0" t="s">
        <v>684</v>
      </c>
      <c r="BA226" s="0" t="s">
        <v>230</v>
      </c>
      <c r="BB226" s="0" t="s">
        <v>384</v>
      </c>
      <c r="BC226" s="0" t="s">
        <v>685</v>
      </c>
      <c r="BI226" s="0" t="n">
        <v>25406000</v>
      </c>
      <c r="BJ226" s="0" t="n">
        <v>29714619.88</v>
      </c>
      <c r="BK226" s="0" t="s">
        <v>200</v>
      </c>
      <c r="BL226" s="0" t="s">
        <v>201</v>
      </c>
      <c r="BN226" s="0" t="n">
        <v>6.9</v>
      </c>
      <c r="BO226" s="0" t="n">
        <v>2.12</v>
      </c>
      <c r="BP226" s="0" t="s">
        <v>202</v>
      </c>
      <c r="BQ226" s="0" t="s">
        <v>187</v>
      </c>
      <c r="BR226" s="0" t="s">
        <v>203</v>
      </c>
      <c r="BS226" s="0" t="s">
        <v>686</v>
      </c>
      <c r="BT226" s="0" t="s">
        <v>205</v>
      </c>
      <c r="BU226" s="0" t="s">
        <v>216</v>
      </c>
      <c r="BW226" s="0" t="s">
        <v>206</v>
      </c>
      <c r="BX226" s="0" t="s">
        <v>207</v>
      </c>
      <c r="BY226" s="0" t="n">
        <v>135</v>
      </c>
      <c r="BZ226" s="0" t="n">
        <v>135</v>
      </c>
      <c r="CB226" s="0" t="s">
        <v>208</v>
      </c>
      <c r="CC226" s="0" t="s">
        <v>256</v>
      </c>
      <c r="CD226" s="0" t="s">
        <v>256</v>
      </c>
      <c r="CE226" s="0" t="s">
        <v>211</v>
      </c>
      <c r="CF226" s="0" t="s">
        <v>211</v>
      </c>
      <c r="CG226" s="0" t="s">
        <v>211</v>
      </c>
      <c r="CH226" s="1" t="n">
        <v>46112</v>
      </c>
      <c r="CI226" s="0" t="n">
        <v>1.2</v>
      </c>
      <c r="CJ226" s="0" t="n">
        <v>2.02</v>
      </c>
      <c r="CK226" s="0" t="n">
        <v>2.12</v>
      </c>
      <c r="CL226" s="0" t="s">
        <v>212</v>
      </c>
      <c r="DA226" s="0" t="n">
        <v>0.69</v>
      </c>
      <c r="DC226" s="0" t="n">
        <v>0.85</v>
      </c>
      <c r="DD226" s="0" t="s">
        <v>212</v>
      </c>
      <c r="ED226" s="0" t="s">
        <v>212</v>
      </c>
      <c r="EE226" s="0" t="n">
        <v>1.05</v>
      </c>
      <c r="EI226" s="0" t="n">
        <v>1.77</v>
      </c>
      <c r="FQ226" s="0" t="n">
        <v>50546447</v>
      </c>
    </row>
    <row r="227" customFormat="false" ht="15" hidden="false" customHeight="false" outlineLevel="0" collapsed="false">
      <c r="B227" s="0" t="str">
        <f aca="false">C227&amp;"x"&amp;I227</f>
        <v>61007x100251</v>
      </c>
      <c r="C227" s="0" t="n">
        <f aca="false">IF(G227="SINGLE",H227,G227)</f>
        <v>61007</v>
      </c>
      <c r="D227" s="0" t="e">
        <f aca="false">_xlfn.XLOOKUP(I227,calculations!$t:$t,calculations!$s:$s)</f>
        <v>#VALUE!</v>
      </c>
      <c r="E227" s="0" t="str">
        <f aca="false">_xlfn.XLOOKUP(I227,Mapping!$T:$T,Mapping!$Q:$Q)</f>
        <v>TUND44</v>
      </c>
      <c r="F227" s="1" t="n">
        <v>46203</v>
      </c>
      <c r="G227" s="0" t="n">
        <v>61007</v>
      </c>
      <c r="H227" s="0" t="n">
        <v>61007</v>
      </c>
      <c r="I227" s="0" t="n">
        <v>100251</v>
      </c>
      <c r="J227" s="0" t="s">
        <v>679</v>
      </c>
      <c r="K227" s="0" t="s">
        <v>218</v>
      </c>
      <c r="L227" s="0" t="s">
        <v>218</v>
      </c>
      <c r="M227" s="0" t="s">
        <v>184</v>
      </c>
      <c r="N227" s="0" t="n">
        <v>43983000</v>
      </c>
      <c r="O227" s="0" t="n">
        <v>51442105.26</v>
      </c>
      <c r="P227" s="0" t="s">
        <v>219</v>
      </c>
      <c r="Q227" s="0" t="s">
        <v>227</v>
      </c>
      <c r="R227" s="0" t="s">
        <v>202</v>
      </c>
      <c r="S227" s="0" t="s">
        <v>680</v>
      </c>
      <c r="T227" s="0" t="s">
        <v>189</v>
      </c>
      <c r="U227" s="0" t="s">
        <v>229</v>
      </c>
      <c r="V227" s="0" t="s">
        <v>230</v>
      </c>
      <c r="W227" s="0" t="s">
        <v>518</v>
      </c>
      <c r="X227" s="0" t="s">
        <v>681</v>
      </c>
      <c r="Y227" s="0" t="n">
        <v>8.1</v>
      </c>
      <c r="Z227" s="0" t="s">
        <v>219</v>
      </c>
      <c r="AA227" s="0" t="n">
        <v>0.855</v>
      </c>
      <c r="AB227" s="0" t="s">
        <v>202</v>
      </c>
      <c r="AC227" s="0" t="n">
        <v>45753000</v>
      </c>
      <c r="AD227" s="0" t="n">
        <v>45753000</v>
      </c>
      <c r="AE227" s="0" t="n">
        <v>53512280.7</v>
      </c>
      <c r="AF227" s="0" t="n">
        <v>0.9613</v>
      </c>
      <c r="AG227" s="0" t="n">
        <v>43983000</v>
      </c>
      <c r="AH227" s="0" t="n">
        <v>43983000</v>
      </c>
      <c r="AI227" s="0" t="n">
        <v>1770000</v>
      </c>
      <c r="AJ227" s="0" t="n">
        <v>45753000</v>
      </c>
      <c r="AK227" s="0" t="n">
        <v>43983000</v>
      </c>
      <c r="AL227" s="0" t="n">
        <v>43983000</v>
      </c>
      <c r="AM227" s="0" t="s">
        <v>194</v>
      </c>
      <c r="AN227" s="0" t="n">
        <v>3.991</v>
      </c>
      <c r="AO227" s="0" t="n">
        <v>4.591</v>
      </c>
      <c r="AP227" s="0" t="n">
        <v>4.847</v>
      </c>
      <c r="AQ227" s="0" t="n">
        <v>100</v>
      </c>
      <c r="AR227" s="0" t="n">
        <v>100</v>
      </c>
      <c r="AS227" s="1" t="n">
        <v>42780</v>
      </c>
      <c r="AT227" s="1" t="n">
        <v>46979</v>
      </c>
      <c r="AU227" s="1" t="n">
        <v>46295</v>
      </c>
      <c r="AV227" s="0" t="s">
        <v>682</v>
      </c>
      <c r="AW227" s="0" t="s">
        <v>384</v>
      </c>
      <c r="AX227" s="0" t="s">
        <v>187</v>
      </c>
      <c r="AY227" s="0" t="s">
        <v>683</v>
      </c>
      <c r="AZ227" s="0" t="s">
        <v>684</v>
      </c>
      <c r="BA227" s="0" t="s">
        <v>230</v>
      </c>
      <c r="BB227" s="0" t="s">
        <v>384</v>
      </c>
      <c r="BC227" s="0" t="s">
        <v>685</v>
      </c>
      <c r="BI227" s="0" t="n">
        <v>45753000</v>
      </c>
      <c r="BJ227" s="0" t="n">
        <v>53512280.7</v>
      </c>
      <c r="BK227" s="0" t="s">
        <v>200</v>
      </c>
      <c r="BL227" s="0" t="s">
        <v>201</v>
      </c>
      <c r="BN227" s="0" t="n">
        <v>6.9</v>
      </c>
      <c r="BO227" s="0" t="n">
        <v>2.12</v>
      </c>
      <c r="BP227" s="0" t="s">
        <v>202</v>
      </c>
      <c r="BQ227" s="0" t="s">
        <v>187</v>
      </c>
      <c r="BR227" s="0" t="s">
        <v>203</v>
      </c>
      <c r="BS227" s="0" t="s">
        <v>686</v>
      </c>
      <c r="BT227" s="0" t="s">
        <v>205</v>
      </c>
      <c r="BU227" s="0" t="s">
        <v>224</v>
      </c>
      <c r="BW227" s="0" t="s">
        <v>206</v>
      </c>
      <c r="BX227" s="0" t="s">
        <v>207</v>
      </c>
      <c r="BY227" s="0" t="n">
        <v>135</v>
      </c>
      <c r="BZ227" s="0" t="n">
        <v>135</v>
      </c>
      <c r="CB227" s="0" t="s">
        <v>208</v>
      </c>
      <c r="CC227" s="0" t="s">
        <v>256</v>
      </c>
      <c r="CD227" s="0" t="s">
        <v>256</v>
      </c>
      <c r="CE227" s="0" t="s">
        <v>211</v>
      </c>
      <c r="CF227" s="0" t="s">
        <v>211</v>
      </c>
      <c r="CG227" s="0" t="s">
        <v>211</v>
      </c>
      <c r="CH227" s="1" t="n">
        <v>46112</v>
      </c>
      <c r="CI227" s="0" t="n">
        <v>1.2</v>
      </c>
      <c r="CJ227" s="0" t="n">
        <v>1.58</v>
      </c>
      <c r="CK227" s="0" t="n">
        <v>1.66</v>
      </c>
      <c r="CL227" s="0" t="s">
        <v>212</v>
      </c>
      <c r="DA227" s="0" t="n">
        <v>0.7</v>
      </c>
      <c r="DC227" s="0" t="n">
        <v>0.85</v>
      </c>
      <c r="DD227" s="0" t="s">
        <v>212</v>
      </c>
      <c r="ED227" s="0" t="s">
        <v>212</v>
      </c>
      <c r="EE227" s="0" t="n">
        <v>1.05</v>
      </c>
      <c r="EI227" s="0" t="n">
        <v>1.88</v>
      </c>
      <c r="FQ227" s="0" t="n">
        <v>48928367</v>
      </c>
    </row>
    <row r="228" customFormat="false" ht="15" hidden="false" customHeight="false" outlineLevel="0" collapsed="false">
      <c r="B228" s="0" t="str">
        <f aca="false">C228&amp;"x"&amp;I228</f>
        <v>61009x100251</v>
      </c>
      <c r="C228" s="0" t="n">
        <f aca="false">IF(G228="SINGLE",H228,G228)</f>
        <v>61009</v>
      </c>
      <c r="D228" s="0" t="e">
        <f aca="false">_xlfn.XLOOKUP(I228,calculations!$t:$t,calculations!$s:$s)</f>
        <v>#VALUE!</v>
      </c>
      <c r="E228" s="0" t="str">
        <f aca="false">_xlfn.XLOOKUP(I228,Mapping!$T:$T,Mapping!$Q:$Q)</f>
        <v>TUND44</v>
      </c>
      <c r="F228" s="1" t="n">
        <v>46203</v>
      </c>
      <c r="G228" s="0" t="n">
        <v>61009</v>
      </c>
      <c r="H228" s="0" t="n">
        <v>61009</v>
      </c>
      <c r="I228" s="0" t="n">
        <v>100251</v>
      </c>
      <c r="J228" s="0" t="s">
        <v>679</v>
      </c>
      <c r="K228" s="0" t="s">
        <v>243</v>
      </c>
      <c r="L228" s="0" t="s">
        <v>243</v>
      </c>
      <c r="M228" s="0" t="s">
        <v>184</v>
      </c>
      <c r="N228" s="0" t="n">
        <v>49514000</v>
      </c>
      <c r="O228" s="0" t="n">
        <v>57911111.11</v>
      </c>
      <c r="P228" s="0" t="s">
        <v>244</v>
      </c>
      <c r="Q228" s="0" t="s">
        <v>227</v>
      </c>
      <c r="R228" s="0" t="s">
        <v>202</v>
      </c>
      <c r="S228" s="0" t="s">
        <v>680</v>
      </c>
      <c r="T228" s="0" t="s">
        <v>189</v>
      </c>
      <c r="U228" s="0" t="s">
        <v>229</v>
      </c>
      <c r="V228" s="0" t="s">
        <v>230</v>
      </c>
      <c r="W228" s="0" t="s">
        <v>518</v>
      </c>
      <c r="X228" s="0" t="s">
        <v>681</v>
      </c>
      <c r="Y228" s="0" t="n">
        <v>8.1</v>
      </c>
      <c r="Z228" s="0" t="s">
        <v>219</v>
      </c>
      <c r="AA228" s="0" t="n">
        <v>0.855</v>
      </c>
      <c r="AB228" s="0" t="s">
        <v>202</v>
      </c>
      <c r="AC228" s="0" t="n">
        <v>51507000</v>
      </c>
      <c r="AD228" s="0" t="n">
        <v>51507000</v>
      </c>
      <c r="AE228" s="0" t="n">
        <v>60242105.26</v>
      </c>
      <c r="AF228" s="0" t="n">
        <v>0.9613</v>
      </c>
      <c r="AG228" s="0" t="n">
        <v>49514000</v>
      </c>
      <c r="AH228" s="0" t="n">
        <v>49514000</v>
      </c>
      <c r="AI228" s="0" t="n">
        <v>1993000</v>
      </c>
      <c r="AJ228" s="0" t="n">
        <v>51507000</v>
      </c>
      <c r="AK228" s="0" t="n">
        <v>49514000</v>
      </c>
      <c r="AL228" s="0" t="n">
        <v>49514000</v>
      </c>
      <c r="AM228" s="0" t="s">
        <v>194</v>
      </c>
      <c r="AN228" s="0" t="n">
        <v>3.87</v>
      </c>
      <c r="AO228" s="0" t="n">
        <v>5.363</v>
      </c>
      <c r="AP228" s="0" t="n">
        <v>4.328</v>
      </c>
      <c r="AQ228" s="0" t="n">
        <v>100</v>
      </c>
      <c r="AR228" s="0" t="n">
        <v>100</v>
      </c>
      <c r="AS228" s="1" t="n">
        <v>42780</v>
      </c>
      <c r="AT228" s="1" t="n">
        <v>46979</v>
      </c>
      <c r="AU228" s="1" t="n">
        <v>46295</v>
      </c>
      <c r="AV228" s="0" t="s">
        <v>682</v>
      </c>
      <c r="AW228" s="0" t="s">
        <v>384</v>
      </c>
      <c r="AX228" s="0" t="s">
        <v>187</v>
      </c>
      <c r="AY228" s="0" t="s">
        <v>683</v>
      </c>
      <c r="AZ228" s="0" t="s">
        <v>684</v>
      </c>
      <c r="BA228" s="0" t="s">
        <v>230</v>
      </c>
      <c r="BB228" s="0" t="s">
        <v>384</v>
      </c>
      <c r="BC228" s="0" t="s">
        <v>685</v>
      </c>
      <c r="BI228" s="0" t="n">
        <v>51507000</v>
      </c>
      <c r="BJ228" s="0" t="n">
        <v>60242105.26</v>
      </c>
      <c r="BK228" s="0" t="s">
        <v>200</v>
      </c>
      <c r="BL228" s="0" t="s">
        <v>201</v>
      </c>
      <c r="BN228" s="0" t="n">
        <v>6.9</v>
      </c>
      <c r="BO228" s="0" t="n">
        <v>2.12</v>
      </c>
      <c r="BP228" s="0" t="s">
        <v>202</v>
      </c>
      <c r="BQ228" s="0" t="s">
        <v>187</v>
      </c>
      <c r="BR228" s="0" t="s">
        <v>203</v>
      </c>
      <c r="BS228" s="0" t="s">
        <v>686</v>
      </c>
      <c r="BT228" s="0" t="s">
        <v>205</v>
      </c>
      <c r="BU228" s="0" t="s">
        <v>220</v>
      </c>
      <c r="BW228" s="0" t="s">
        <v>206</v>
      </c>
      <c r="BX228" s="0" t="s">
        <v>217</v>
      </c>
      <c r="BY228" s="0" t="n">
        <v>135</v>
      </c>
      <c r="BZ228" s="0" t="n">
        <v>135</v>
      </c>
      <c r="CB228" s="0" t="s">
        <v>208</v>
      </c>
      <c r="CC228" s="0" t="s">
        <v>256</v>
      </c>
      <c r="CD228" s="0" t="s">
        <v>256</v>
      </c>
      <c r="CE228" s="0" t="s">
        <v>211</v>
      </c>
      <c r="CF228" s="0" t="s">
        <v>211</v>
      </c>
      <c r="CG228" s="0" t="s">
        <v>211</v>
      </c>
      <c r="CH228" s="1" t="n">
        <v>46112</v>
      </c>
      <c r="CI228" s="0" t="n">
        <v>1.2</v>
      </c>
      <c r="CJ228" s="0" t="n">
        <v>1.76</v>
      </c>
      <c r="CK228" s="0" t="n">
        <v>1.85</v>
      </c>
      <c r="CL228" s="0" t="s">
        <v>212</v>
      </c>
      <c r="DA228" s="0" t="n">
        <v>0.78</v>
      </c>
      <c r="DC228" s="0" t="n">
        <v>0.85</v>
      </c>
      <c r="DD228" s="0" t="s">
        <v>212</v>
      </c>
      <c r="ED228" s="0" t="s">
        <v>212</v>
      </c>
      <c r="EE228" s="0" t="n">
        <v>1.05</v>
      </c>
      <c r="EI228" s="0" t="n">
        <v>1.38</v>
      </c>
      <c r="FQ228" s="0" t="n">
        <v>44575800</v>
      </c>
    </row>
    <row r="229" customFormat="false" ht="15" hidden="false" customHeight="false" outlineLevel="0" collapsed="false">
      <c r="B229" s="0" t="str">
        <f aca="false">C229&amp;"x"&amp;I229</f>
        <v>61012x100252</v>
      </c>
      <c r="C229" s="0" t="n">
        <f aca="false">IF(G229="SINGLE",H229,G229)</f>
        <v>61012</v>
      </c>
      <c r="D229" s="0" t="e">
        <f aca="false">_xlfn.XLOOKUP(I229,calculations!$t:$t,calculations!$s:$s)</f>
        <v>#VALUE!</v>
      </c>
      <c r="E229" s="0" t="str">
        <f aca="false">_xlfn.XLOOKUP(I229,Mapping!$T:$T,Mapping!$Q:$Q)</f>
        <v>ULTR45</v>
      </c>
      <c r="F229" s="1" t="n">
        <v>46203</v>
      </c>
      <c r="G229" s="0" t="n">
        <v>61012</v>
      </c>
      <c r="H229" s="0" t="n">
        <v>61012</v>
      </c>
      <c r="I229" s="0" t="n">
        <v>100252</v>
      </c>
      <c r="J229" s="0" t="s">
        <v>687</v>
      </c>
      <c r="K229" s="0" t="s">
        <v>332</v>
      </c>
      <c r="L229" s="0" t="s">
        <v>332</v>
      </c>
      <c r="M229" s="0" t="s">
        <v>184</v>
      </c>
      <c r="N229" s="0" t="n">
        <v>39319000</v>
      </c>
      <c r="O229" s="0" t="n">
        <v>39319000</v>
      </c>
      <c r="P229" s="0" t="s">
        <v>219</v>
      </c>
      <c r="Q229" s="0" t="s">
        <v>227</v>
      </c>
      <c r="R229" s="0" t="s">
        <v>187</v>
      </c>
      <c r="S229" s="0" t="s">
        <v>688</v>
      </c>
      <c r="T229" s="0" t="s">
        <v>189</v>
      </c>
      <c r="U229" s="0" t="s">
        <v>357</v>
      </c>
      <c r="V229" s="0" t="s">
        <v>358</v>
      </c>
      <c r="W229" s="0" t="s">
        <v>336</v>
      </c>
      <c r="X229" s="0" t="s">
        <v>689</v>
      </c>
      <c r="Y229" s="0" t="n">
        <v>5.6</v>
      </c>
      <c r="Z229" s="0" t="s">
        <v>185</v>
      </c>
      <c r="AA229" s="0" t="n">
        <v>1</v>
      </c>
      <c r="AB229" s="0" t="s">
        <v>187</v>
      </c>
      <c r="AC229" s="0" t="n">
        <v>40106000</v>
      </c>
      <c r="AD229" s="0" t="n">
        <v>40106000</v>
      </c>
      <c r="AE229" s="0" t="n">
        <v>40106000</v>
      </c>
      <c r="AF229" s="0" t="n">
        <v>0.9804</v>
      </c>
      <c r="AG229" s="0" t="n">
        <v>39319000</v>
      </c>
      <c r="AH229" s="0" t="n">
        <v>39319000</v>
      </c>
      <c r="AI229" s="0" t="n">
        <v>787000</v>
      </c>
      <c r="AJ229" s="0" t="n">
        <v>40106000</v>
      </c>
      <c r="AK229" s="0" t="n">
        <v>39319000</v>
      </c>
      <c r="AL229" s="0" t="n">
        <v>39319000</v>
      </c>
      <c r="AM229" s="0" t="s">
        <v>194</v>
      </c>
      <c r="AN229" s="0" t="n">
        <v>5.82</v>
      </c>
      <c r="AO229" s="0" t="n">
        <v>5.487</v>
      </c>
      <c r="AP229" s="0" t="n">
        <v>5</v>
      </c>
      <c r="AQ229" s="0" t="n">
        <v>100</v>
      </c>
      <c r="AR229" s="0" t="n">
        <v>100</v>
      </c>
      <c r="AS229" s="1" t="n">
        <v>44241</v>
      </c>
      <c r="AT229" s="1" t="n">
        <v>47709</v>
      </c>
      <c r="AU229" s="1" t="n">
        <v>46295</v>
      </c>
      <c r="AV229" s="0" t="s">
        <v>690</v>
      </c>
      <c r="AW229" s="0" t="s">
        <v>384</v>
      </c>
      <c r="AX229" s="0" t="s">
        <v>187</v>
      </c>
      <c r="AY229" s="0" t="s">
        <v>691</v>
      </c>
      <c r="AZ229" s="0" t="s">
        <v>692</v>
      </c>
      <c r="BA229" s="0" t="s">
        <v>358</v>
      </c>
      <c r="BB229" s="0" t="s">
        <v>384</v>
      </c>
      <c r="BC229" s="0" t="s">
        <v>693</v>
      </c>
      <c r="BI229" s="0" t="n">
        <v>40106000</v>
      </c>
      <c r="BJ229" s="0" t="n">
        <v>40106000</v>
      </c>
      <c r="BK229" s="0" t="s">
        <v>200</v>
      </c>
      <c r="BL229" s="0" t="s">
        <v>201</v>
      </c>
      <c r="BN229" s="0" t="n">
        <v>5.7</v>
      </c>
      <c r="BO229" s="0" t="n">
        <v>4.12</v>
      </c>
      <c r="BP229" s="0" t="s">
        <v>202</v>
      </c>
      <c r="BQ229" s="0" t="s">
        <v>187</v>
      </c>
      <c r="BR229" s="0" t="s">
        <v>203</v>
      </c>
      <c r="BS229" s="0" t="s">
        <v>694</v>
      </c>
      <c r="BT229" s="0" t="s">
        <v>205</v>
      </c>
      <c r="BU229" s="0" t="s">
        <v>216</v>
      </c>
      <c r="BW229" s="0" t="s">
        <v>206</v>
      </c>
      <c r="BX229" s="0" t="s">
        <v>207</v>
      </c>
      <c r="BY229" s="0" t="n">
        <v>200</v>
      </c>
      <c r="BZ229" s="0" t="n">
        <v>200</v>
      </c>
      <c r="CB229" s="0" t="s">
        <v>208</v>
      </c>
      <c r="CC229" s="0" t="s">
        <v>210</v>
      </c>
      <c r="CD229" s="0" t="s">
        <v>210</v>
      </c>
      <c r="CE229" s="0" t="s">
        <v>211</v>
      </c>
      <c r="CF229" s="0" t="s">
        <v>211</v>
      </c>
      <c r="CG229" s="0" t="s">
        <v>211</v>
      </c>
      <c r="CH229" s="1" t="n">
        <v>46112</v>
      </c>
      <c r="CI229" s="0" t="n">
        <v>1.2</v>
      </c>
      <c r="CJ229" s="0" t="n">
        <v>1.7</v>
      </c>
      <c r="CK229" s="0" t="n">
        <v>1.78</v>
      </c>
      <c r="CL229" s="0" t="s">
        <v>212</v>
      </c>
      <c r="DA229" s="0" t="n">
        <v>0.63</v>
      </c>
      <c r="DC229" s="0" t="n">
        <v>0.85</v>
      </c>
      <c r="DD229" s="0" t="s">
        <v>212</v>
      </c>
      <c r="ED229" s="0" t="s">
        <v>212</v>
      </c>
      <c r="EE229" s="0" t="n">
        <v>1.05</v>
      </c>
      <c r="EI229" s="0" t="n">
        <v>1.86</v>
      </c>
      <c r="FQ229" s="0" t="n">
        <v>72593228</v>
      </c>
    </row>
    <row r="230" customFormat="false" ht="15" hidden="false" customHeight="false" outlineLevel="0" collapsed="false">
      <c r="B230" s="0" t="str">
        <f aca="false">C230&amp;"x"&amp;I230</f>
        <v>61009x100252</v>
      </c>
      <c r="C230" s="0" t="n">
        <f aca="false">IF(G230="SINGLE",H230,G230)</f>
        <v>61009</v>
      </c>
      <c r="D230" s="0" t="e">
        <f aca="false">_xlfn.XLOOKUP(I230,calculations!$t:$t,calculations!$s:$s)</f>
        <v>#VALUE!</v>
      </c>
      <c r="E230" s="0" t="str">
        <f aca="false">_xlfn.XLOOKUP(I230,Mapping!$T:$T,Mapping!$Q:$Q)</f>
        <v>ULTR45</v>
      </c>
      <c r="F230" s="1" t="n">
        <v>46203</v>
      </c>
      <c r="G230" s="0" t="n">
        <v>61009</v>
      </c>
      <c r="H230" s="0" t="n">
        <v>61009</v>
      </c>
      <c r="I230" s="0" t="n">
        <v>100252</v>
      </c>
      <c r="J230" s="0" t="s">
        <v>687</v>
      </c>
      <c r="K230" s="0" t="s">
        <v>243</v>
      </c>
      <c r="L230" s="0" t="s">
        <v>243</v>
      </c>
      <c r="M230" s="0" t="s">
        <v>184</v>
      </c>
      <c r="N230" s="0" t="n">
        <v>33052000</v>
      </c>
      <c r="O230" s="0" t="n">
        <v>33052000</v>
      </c>
      <c r="P230" s="0" t="s">
        <v>244</v>
      </c>
      <c r="Q230" s="0" t="s">
        <v>227</v>
      </c>
      <c r="R230" s="0" t="s">
        <v>187</v>
      </c>
      <c r="S230" s="0" t="s">
        <v>688</v>
      </c>
      <c r="T230" s="0" t="s">
        <v>189</v>
      </c>
      <c r="U230" s="0" t="s">
        <v>357</v>
      </c>
      <c r="V230" s="0" t="s">
        <v>358</v>
      </c>
      <c r="W230" s="0" t="s">
        <v>336</v>
      </c>
      <c r="X230" s="0" t="s">
        <v>689</v>
      </c>
      <c r="Y230" s="0" t="n">
        <v>5.6</v>
      </c>
      <c r="Z230" s="0" t="s">
        <v>185</v>
      </c>
      <c r="AA230" s="0" t="n">
        <v>1</v>
      </c>
      <c r="AB230" s="0" t="s">
        <v>187</v>
      </c>
      <c r="AC230" s="0" t="n">
        <v>33713000</v>
      </c>
      <c r="AD230" s="0" t="n">
        <v>33713000</v>
      </c>
      <c r="AE230" s="0" t="n">
        <v>33713000</v>
      </c>
      <c r="AF230" s="0" t="n">
        <v>0.9804</v>
      </c>
      <c r="AG230" s="0" t="n">
        <v>33052000</v>
      </c>
      <c r="AH230" s="0" t="n">
        <v>33052000</v>
      </c>
      <c r="AI230" s="0" t="n">
        <v>661000</v>
      </c>
      <c r="AJ230" s="0" t="n">
        <v>33713000</v>
      </c>
      <c r="AK230" s="0" t="n">
        <v>33052000</v>
      </c>
      <c r="AL230" s="0" t="n">
        <v>33052000</v>
      </c>
      <c r="AM230" s="0" t="s">
        <v>194</v>
      </c>
      <c r="AN230" s="0" t="n">
        <v>3.522</v>
      </c>
      <c r="AO230" s="0" t="n">
        <v>4.704</v>
      </c>
      <c r="AP230" s="0" t="n">
        <v>2.603</v>
      </c>
      <c r="AQ230" s="0" t="n">
        <v>100</v>
      </c>
      <c r="AR230" s="0" t="n">
        <v>100</v>
      </c>
      <c r="AS230" s="1" t="n">
        <v>44241</v>
      </c>
      <c r="AT230" s="1" t="n">
        <v>47709</v>
      </c>
      <c r="AU230" s="1" t="n">
        <v>46295</v>
      </c>
      <c r="AV230" s="0" t="s">
        <v>690</v>
      </c>
      <c r="AW230" s="0" t="s">
        <v>384</v>
      </c>
      <c r="AX230" s="0" t="s">
        <v>187</v>
      </c>
      <c r="AY230" s="0" t="s">
        <v>691</v>
      </c>
      <c r="AZ230" s="0" t="s">
        <v>692</v>
      </c>
      <c r="BA230" s="0" t="s">
        <v>358</v>
      </c>
      <c r="BB230" s="0" t="s">
        <v>384</v>
      </c>
      <c r="BC230" s="0" t="s">
        <v>693</v>
      </c>
      <c r="BI230" s="0" t="n">
        <v>33713000</v>
      </c>
      <c r="BJ230" s="0" t="n">
        <v>33713000</v>
      </c>
      <c r="BK230" s="0" t="s">
        <v>200</v>
      </c>
      <c r="BL230" s="0" t="s">
        <v>201</v>
      </c>
      <c r="BN230" s="0" t="n">
        <v>5.7</v>
      </c>
      <c r="BO230" s="0" t="n">
        <v>4.12</v>
      </c>
      <c r="BP230" s="0" t="s">
        <v>202</v>
      </c>
      <c r="BQ230" s="0" t="s">
        <v>187</v>
      </c>
      <c r="BR230" s="0" t="s">
        <v>203</v>
      </c>
      <c r="BS230" s="0" t="s">
        <v>694</v>
      </c>
      <c r="BT230" s="0" t="s">
        <v>205</v>
      </c>
      <c r="BU230" s="0" t="s">
        <v>216</v>
      </c>
      <c r="BW230" s="0" t="s">
        <v>206</v>
      </c>
      <c r="BX230" s="0" t="s">
        <v>217</v>
      </c>
      <c r="BY230" s="0" t="n">
        <v>200</v>
      </c>
      <c r="BZ230" s="0" t="n">
        <v>200</v>
      </c>
      <c r="CB230" s="0" t="s">
        <v>208</v>
      </c>
      <c r="CC230" s="0" t="s">
        <v>210</v>
      </c>
      <c r="CD230" s="0" t="s">
        <v>210</v>
      </c>
      <c r="CE230" s="0" t="s">
        <v>211</v>
      </c>
      <c r="CF230" s="0" t="s">
        <v>211</v>
      </c>
      <c r="CG230" s="0" t="s">
        <v>211</v>
      </c>
      <c r="CH230" s="1" t="n">
        <v>46112</v>
      </c>
      <c r="CI230" s="0" t="n">
        <v>1.2</v>
      </c>
      <c r="CJ230" s="0" t="n">
        <v>2.35</v>
      </c>
      <c r="CK230" s="0" t="n">
        <v>2.47</v>
      </c>
      <c r="CL230" s="0" t="s">
        <v>212</v>
      </c>
      <c r="DA230" s="0" t="n">
        <v>0.82</v>
      </c>
      <c r="DC230" s="0" t="n">
        <v>0.85</v>
      </c>
      <c r="DD230" s="0" t="s">
        <v>213</v>
      </c>
      <c r="ED230" s="0" t="s">
        <v>212</v>
      </c>
      <c r="EE230" s="0" t="n">
        <v>1.05</v>
      </c>
      <c r="EI230" s="0" t="n">
        <v>1.78</v>
      </c>
      <c r="FQ230" s="0" t="n">
        <v>88703511</v>
      </c>
    </row>
    <row r="231" customFormat="false" ht="15" hidden="false" customHeight="false" outlineLevel="0" collapsed="false">
      <c r="B231" s="0" t="str">
        <f aca="false">C231&amp;"x"&amp;I231</f>
        <v>61018x100252</v>
      </c>
      <c r="C231" s="0" t="n">
        <f aca="false">IF(G231="SINGLE",H231,G231)</f>
        <v>61018</v>
      </c>
      <c r="D231" s="0" t="e">
        <f aca="false">_xlfn.XLOOKUP(I231,calculations!$t:$t,calculations!$s:$s)</f>
        <v>#VALUE!</v>
      </c>
      <c r="E231" s="0" t="str">
        <f aca="false">_xlfn.XLOOKUP(I231,Mapping!$T:$T,Mapping!$Q:$Q)</f>
        <v>ULTR45</v>
      </c>
      <c r="F231" s="1" t="n">
        <v>46203</v>
      </c>
      <c r="G231" s="0" t="n">
        <v>61018</v>
      </c>
      <c r="H231" s="0" t="n">
        <v>61018</v>
      </c>
      <c r="I231" s="0" t="n">
        <v>100252</v>
      </c>
      <c r="J231" s="0" t="s">
        <v>687</v>
      </c>
      <c r="K231" s="0" t="s">
        <v>258</v>
      </c>
      <c r="L231" s="0" t="s">
        <v>258</v>
      </c>
      <c r="M231" s="0" t="s">
        <v>184</v>
      </c>
      <c r="N231" s="0" t="n">
        <v>31128000</v>
      </c>
      <c r="O231" s="0" t="n">
        <v>31128000</v>
      </c>
      <c r="P231" s="0" t="s">
        <v>185</v>
      </c>
      <c r="Q231" s="0" t="s">
        <v>227</v>
      </c>
      <c r="R231" s="0" t="s">
        <v>187</v>
      </c>
      <c r="S231" s="0" t="s">
        <v>688</v>
      </c>
      <c r="T231" s="0" t="s">
        <v>189</v>
      </c>
      <c r="U231" s="0" t="s">
        <v>357</v>
      </c>
      <c r="V231" s="0" t="s">
        <v>358</v>
      </c>
      <c r="W231" s="0" t="s">
        <v>336</v>
      </c>
      <c r="X231" s="0" t="s">
        <v>689</v>
      </c>
      <c r="Y231" s="0" t="n">
        <v>5.6</v>
      </c>
      <c r="Z231" s="0" t="s">
        <v>185</v>
      </c>
      <c r="AA231" s="0" t="n">
        <v>1</v>
      </c>
      <c r="AB231" s="0" t="s">
        <v>187</v>
      </c>
      <c r="AC231" s="0" t="n">
        <v>31751000</v>
      </c>
      <c r="AD231" s="0" t="n">
        <v>31751000</v>
      </c>
      <c r="AE231" s="0" t="n">
        <v>31751000</v>
      </c>
      <c r="AF231" s="0" t="n">
        <v>0.9804</v>
      </c>
      <c r="AG231" s="0" t="n">
        <v>31128000</v>
      </c>
      <c r="AH231" s="0" t="n">
        <v>31128000</v>
      </c>
      <c r="AI231" s="0" t="n">
        <v>623000</v>
      </c>
      <c r="AJ231" s="0" t="n">
        <v>31751000</v>
      </c>
      <c r="AK231" s="0" t="n">
        <v>31128000</v>
      </c>
      <c r="AL231" s="0" t="n">
        <v>31128000</v>
      </c>
      <c r="AM231" s="0" t="s">
        <v>194</v>
      </c>
      <c r="AN231" s="0" t="n">
        <v>4.535</v>
      </c>
      <c r="AO231" s="0" t="n">
        <v>4.103</v>
      </c>
      <c r="AP231" s="0" t="n">
        <v>2.853</v>
      </c>
      <c r="AQ231" s="0" t="n">
        <v>100</v>
      </c>
      <c r="AR231" s="0" t="n">
        <v>100</v>
      </c>
      <c r="AS231" s="1" t="n">
        <v>44241</v>
      </c>
      <c r="AT231" s="1" t="n">
        <v>47709</v>
      </c>
      <c r="AU231" s="1" t="n">
        <v>46295</v>
      </c>
      <c r="AV231" s="0" t="s">
        <v>690</v>
      </c>
      <c r="AW231" s="0" t="s">
        <v>384</v>
      </c>
      <c r="AX231" s="0" t="s">
        <v>187</v>
      </c>
      <c r="AY231" s="0" t="s">
        <v>691</v>
      </c>
      <c r="AZ231" s="0" t="s">
        <v>692</v>
      </c>
      <c r="BA231" s="0" t="s">
        <v>358</v>
      </c>
      <c r="BB231" s="0" t="s">
        <v>384</v>
      </c>
      <c r="BC231" s="0" t="s">
        <v>693</v>
      </c>
      <c r="BI231" s="0" t="n">
        <v>31751000</v>
      </c>
      <c r="BJ231" s="0" t="n">
        <v>31751000</v>
      </c>
      <c r="BK231" s="0" t="s">
        <v>200</v>
      </c>
      <c r="BL231" s="0" t="s">
        <v>201</v>
      </c>
      <c r="BN231" s="0" t="n">
        <v>5.7</v>
      </c>
      <c r="BO231" s="0" t="n">
        <v>4.12</v>
      </c>
      <c r="BP231" s="0" t="s">
        <v>202</v>
      </c>
      <c r="BQ231" s="0" t="s">
        <v>187</v>
      </c>
      <c r="BR231" s="0" t="s">
        <v>203</v>
      </c>
      <c r="BS231" s="0" t="s">
        <v>694</v>
      </c>
      <c r="BT231" s="0" t="s">
        <v>205</v>
      </c>
      <c r="BU231" s="0" t="s">
        <v>216</v>
      </c>
      <c r="BW231" s="0" t="s">
        <v>257</v>
      </c>
      <c r="BX231" s="0" t="s">
        <v>207</v>
      </c>
      <c r="BY231" s="0" t="n">
        <v>200</v>
      </c>
      <c r="BZ231" s="0" t="n">
        <v>200</v>
      </c>
      <c r="CB231" s="0" t="s">
        <v>208</v>
      </c>
      <c r="CC231" s="0" t="s">
        <v>210</v>
      </c>
      <c r="CD231" s="0" t="s">
        <v>210</v>
      </c>
      <c r="CE231" s="0" t="s">
        <v>211</v>
      </c>
      <c r="CF231" s="0" t="s">
        <v>211</v>
      </c>
      <c r="CG231" s="0" t="s">
        <v>211</v>
      </c>
      <c r="CH231" s="1" t="n">
        <v>46112</v>
      </c>
      <c r="CI231" s="0" t="n">
        <v>1.2</v>
      </c>
      <c r="CJ231" s="0" t="n">
        <v>3.2</v>
      </c>
      <c r="CK231" s="0" t="n">
        <v>3.36</v>
      </c>
      <c r="CL231" s="0" t="s">
        <v>212</v>
      </c>
      <c r="DA231" s="0" t="n">
        <v>0.74</v>
      </c>
      <c r="DC231" s="0" t="n">
        <v>0.85</v>
      </c>
      <c r="DD231" s="0" t="s">
        <v>212</v>
      </c>
      <c r="ED231" s="0" t="s">
        <v>212</v>
      </c>
      <c r="EE231" s="0" t="n">
        <v>1.05</v>
      </c>
      <c r="EI231" s="0" t="n">
        <v>1.81</v>
      </c>
      <c r="FQ231" s="0" t="n">
        <v>64939966</v>
      </c>
    </row>
    <row r="232" customFormat="false" ht="15" hidden="false" customHeight="false" outlineLevel="0" collapsed="false">
      <c r="B232" s="0" t="str">
        <f aca="false">C232&amp;"x"&amp;I232</f>
        <v>61024x100252</v>
      </c>
      <c r="C232" s="0" t="n">
        <f aca="false">IF(G232="SINGLE",H232,G232)</f>
        <v>61024</v>
      </c>
      <c r="D232" s="0" t="e">
        <f aca="false">_xlfn.XLOOKUP(I232,calculations!$t:$t,calculations!$s:$s)</f>
        <v>#VALUE!</v>
      </c>
      <c r="E232" s="0" t="str">
        <f aca="false">_xlfn.XLOOKUP(I232,Mapping!$T:$T,Mapping!$Q:$Q)</f>
        <v>ULTR45</v>
      </c>
      <c r="F232" s="1" t="n">
        <v>46203</v>
      </c>
      <c r="G232" s="0" t="n">
        <v>61024</v>
      </c>
      <c r="H232" s="0" t="n">
        <v>61024</v>
      </c>
      <c r="I232" s="0" t="n">
        <v>100252</v>
      </c>
      <c r="J232" s="0" t="s">
        <v>687</v>
      </c>
      <c r="K232" s="0" t="s">
        <v>183</v>
      </c>
      <c r="L232" s="0" t="s">
        <v>183</v>
      </c>
      <c r="M232" s="0" t="s">
        <v>184</v>
      </c>
      <c r="N232" s="0" t="n">
        <v>17961000</v>
      </c>
      <c r="O232" s="0" t="n">
        <v>17961000</v>
      </c>
      <c r="P232" s="0" t="s">
        <v>185</v>
      </c>
      <c r="Q232" s="0" t="s">
        <v>227</v>
      </c>
      <c r="R232" s="0" t="s">
        <v>187</v>
      </c>
      <c r="S232" s="0" t="s">
        <v>688</v>
      </c>
      <c r="T232" s="0" t="s">
        <v>189</v>
      </c>
      <c r="U232" s="0" t="s">
        <v>357</v>
      </c>
      <c r="V232" s="0" t="s">
        <v>358</v>
      </c>
      <c r="W232" s="0" t="s">
        <v>336</v>
      </c>
      <c r="X232" s="0" t="s">
        <v>689</v>
      </c>
      <c r="Y232" s="0" t="n">
        <v>5.6</v>
      </c>
      <c r="Z232" s="0" t="s">
        <v>185</v>
      </c>
      <c r="AA232" s="0" t="n">
        <v>1</v>
      </c>
      <c r="AB232" s="0" t="s">
        <v>187</v>
      </c>
      <c r="AC232" s="0" t="n">
        <v>18320000</v>
      </c>
      <c r="AD232" s="0" t="n">
        <v>18320000</v>
      </c>
      <c r="AE232" s="0" t="n">
        <v>18320000</v>
      </c>
      <c r="AF232" s="0" t="n">
        <v>0.9804</v>
      </c>
      <c r="AG232" s="0" t="n">
        <v>17961000</v>
      </c>
      <c r="AH232" s="0" t="n">
        <v>17961000</v>
      </c>
      <c r="AI232" s="0" t="n">
        <v>359000</v>
      </c>
      <c r="AJ232" s="0" t="n">
        <v>18320000</v>
      </c>
      <c r="AK232" s="0" t="n">
        <v>17961000</v>
      </c>
      <c r="AL232" s="0" t="n">
        <v>17961000</v>
      </c>
      <c r="AM232" s="0" t="s">
        <v>194</v>
      </c>
      <c r="AN232" s="0" t="n">
        <v>6.014</v>
      </c>
      <c r="AO232" s="0" t="n">
        <v>4.135</v>
      </c>
      <c r="AP232" s="0" t="n">
        <v>5.678</v>
      </c>
      <c r="AQ232" s="0" t="n">
        <v>100</v>
      </c>
      <c r="AR232" s="0" t="n">
        <v>100</v>
      </c>
      <c r="AS232" s="1" t="n">
        <v>44241</v>
      </c>
      <c r="AT232" s="1" t="n">
        <v>47709</v>
      </c>
      <c r="AU232" s="1" t="n">
        <v>46295</v>
      </c>
      <c r="AV232" s="0" t="s">
        <v>690</v>
      </c>
      <c r="AW232" s="0" t="s">
        <v>384</v>
      </c>
      <c r="AX232" s="0" t="s">
        <v>187</v>
      </c>
      <c r="AY232" s="0" t="s">
        <v>691</v>
      </c>
      <c r="AZ232" s="0" t="s">
        <v>692</v>
      </c>
      <c r="BA232" s="0" t="s">
        <v>358</v>
      </c>
      <c r="BB232" s="0" t="s">
        <v>384</v>
      </c>
      <c r="BC232" s="0" t="s">
        <v>693</v>
      </c>
      <c r="BI232" s="0" t="n">
        <v>18320000</v>
      </c>
      <c r="BJ232" s="0" t="n">
        <v>18320000</v>
      </c>
      <c r="BK232" s="0" t="s">
        <v>200</v>
      </c>
      <c r="BL232" s="0" t="s">
        <v>201</v>
      </c>
      <c r="BN232" s="0" t="n">
        <v>5.7</v>
      </c>
      <c r="BO232" s="0" t="n">
        <v>4.12</v>
      </c>
      <c r="BP232" s="0" t="s">
        <v>202</v>
      </c>
      <c r="BQ232" s="0" t="s">
        <v>187</v>
      </c>
      <c r="BR232" s="0" t="s">
        <v>203</v>
      </c>
      <c r="BS232" s="0" t="s">
        <v>694</v>
      </c>
      <c r="BT232" s="0" t="s">
        <v>205</v>
      </c>
      <c r="BU232" s="0" t="s">
        <v>255</v>
      </c>
      <c r="BW232" s="0" t="s">
        <v>206</v>
      </c>
      <c r="BX232" s="0" t="s">
        <v>217</v>
      </c>
      <c r="BY232" s="0" t="n">
        <v>200</v>
      </c>
      <c r="BZ232" s="0" t="n">
        <v>200</v>
      </c>
      <c r="CB232" s="0" t="s">
        <v>208</v>
      </c>
      <c r="CC232" s="0" t="s">
        <v>210</v>
      </c>
      <c r="CD232" s="0" t="s">
        <v>210</v>
      </c>
      <c r="CE232" s="0" t="s">
        <v>211</v>
      </c>
      <c r="CF232" s="0" t="s">
        <v>211</v>
      </c>
      <c r="CG232" s="0" t="s">
        <v>211</v>
      </c>
      <c r="CH232" s="1" t="n">
        <v>46112</v>
      </c>
      <c r="CI232" s="0" t="n">
        <v>1.2</v>
      </c>
      <c r="CJ232" s="0" t="n">
        <v>3.39</v>
      </c>
      <c r="CK232" s="0" t="n">
        <v>3.56</v>
      </c>
      <c r="CL232" s="0" t="s">
        <v>212</v>
      </c>
      <c r="DA232" s="0" t="n">
        <v>0.81</v>
      </c>
      <c r="DC232" s="0" t="n">
        <v>0.85</v>
      </c>
      <c r="DD232" s="0" t="s">
        <v>213</v>
      </c>
      <c r="ED232" s="0" t="s">
        <v>212</v>
      </c>
      <c r="EE232" s="0" t="n">
        <v>1.05</v>
      </c>
      <c r="EI232" s="0" t="n">
        <v>1.28</v>
      </c>
      <c r="FQ232" s="0" t="n">
        <v>55108915</v>
      </c>
    </row>
    <row r="233" customFormat="false" ht="15" hidden="false" customHeight="false" outlineLevel="0" collapsed="false">
      <c r="B233" s="0" t="str">
        <f aca="false">C233&amp;"x"&amp;I233</f>
        <v>61003x100252</v>
      </c>
      <c r="C233" s="0" t="n">
        <f aca="false">IF(G233="SINGLE",H233,G233)</f>
        <v>61003</v>
      </c>
      <c r="D233" s="0" t="e">
        <f aca="false">_xlfn.XLOOKUP(I233,calculations!$t:$t,calculations!$s:$s)</f>
        <v>#VALUE!</v>
      </c>
      <c r="E233" s="0" t="str">
        <f aca="false">_xlfn.XLOOKUP(I233,Mapping!$T:$T,Mapping!$Q:$Q)</f>
        <v>ULTR45</v>
      </c>
      <c r="F233" s="1" t="n">
        <v>46203</v>
      </c>
      <c r="G233" s="0" t="n">
        <v>61003</v>
      </c>
      <c r="H233" s="0" t="n">
        <v>61003</v>
      </c>
      <c r="I233" s="0" t="n">
        <v>100252</v>
      </c>
      <c r="J233" s="0" t="s">
        <v>687</v>
      </c>
      <c r="K233" s="0" t="s">
        <v>226</v>
      </c>
      <c r="L233" s="0" t="s">
        <v>226</v>
      </c>
      <c r="M233" s="0" t="s">
        <v>184</v>
      </c>
      <c r="N233" s="0" t="n">
        <v>62744000</v>
      </c>
      <c r="O233" s="0" t="n">
        <v>62744000</v>
      </c>
      <c r="P233" s="0" t="s">
        <v>185</v>
      </c>
      <c r="Q233" s="0" t="s">
        <v>227</v>
      </c>
      <c r="R233" s="0" t="s">
        <v>187</v>
      </c>
      <c r="S233" s="0" t="s">
        <v>688</v>
      </c>
      <c r="T233" s="0" t="s">
        <v>189</v>
      </c>
      <c r="U233" s="0" t="s">
        <v>357</v>
      </c>
      <c r="V233" s="0" t="s">
        <v>358</v>
      </c>
      <c r="W233" s="0" t="s">
        <v>336</v>
      </c>
      <c r="X233" s="0" t="s">
        <v>689</v>
      </c>
      <c r="Y233" s="0" t="n">
        <v>5.6</v>
      </c>
      <c r="Z233" s="0" t="s">
        <v>185</v>
      </c>
      <c r="AA233" s="0" t="n">
        <v>1</v>
      </c>
      <c r="AB233" s="0" t="s">
        <v>187</v>
      </c>
      <c r="AC233" s="0" t="n">
        <v>63999000</v>
      </c>
      <c r="AD233" s="0" t="n">
        <v>63999000</v>
      </c>
      <c r="AE233" s="0" t="n">
        <v>63999000</v>
      </c>
      <c r="AF233" s="0" t="n">
        <v>0.9804</v>
      </c>
      <c r="AG233" s="0" t="n">
        <v>62744000</v>
      </c>
      <c r="AH233" s="0" t="n">
        <v>62744000</v>
      </c>
      <c r="AI233" s="0" t="n">
        <v>1255000</v>
      </c>
      <c r="AJ233" s="0" t="n">
        <v>63999000</v>
      </c>
      <c r="AK233" s="0" t="n">
        <v>62744000</v>
      </c>
      <c r="AL233" s="0" t="n">
        <v>62744000</v>
      </c>
      <c r="AM233" s="0" t="s">
        <v>194</v>
      </c>
      <c r="AN233" s="0" t="n">
        <v>3.189</v>
      </c>
      <c r="AO233" s="0" t="n">
        <v>4.654</v>
      </c>
      <c r="AP233" s="0" t="n">
        <v>3.387</v>
      </c>
      <c r="AQ233" s="0" t="n">
        <v>100</v>
      </c>
      <c r="AR233" s="0" t="n">
        <v>100</v>
      </c>
      <c r="AS233" s="1" t="n">
        <v>44241</v>
      </c>
      <c r="AT233" s="1" t="n">
        <v>47709</v>
      </c>
      <c r="AU233" s="1" t="n">
        <v>46295</v>
      </c>
      <c r="AV233" s="0" t="s">
        <v>690</v>
      </c>
      <c r="AW233" s="0" t="s">
        <v>384</v>
      </c>
      <c r="AX233" s="0" t="s">
        <v>187</v>
      </c>
      <c r="AY233" s="0" t="s">
        <v>691</v>
      </c>
      <c r="AZ233" s="0" t="s">
        <v>692</v>
      </c>
      <c r="BA233" s="0" t="s">
        <v>358</v>
      </c>
      <c r="BB233" s="0" t="s">
        <v>384</v>
      </c>
      <c r="BC233" s="0" t="s">
        <v>693</v>
      </c>
      <c r="BI233" s="0" t="n">
        <v>63999000</v>
      </c>
      <c r="BJ233" s="0" t="n">
        <v>63999000</v>
      </c>
      <c r="BK233" s="0" t="s">
        <v>200</v>
      </c>
      <c r="BL233" s="0" t="s">
        <v>201</v>
      </c>
      <c r="BN233" s="0" t="n">
        <v>5.7</v>
      </c>
      <c r="BO233" s="0" t="n">
        <v>4.12</v>
      </c>
      <c r="BP233" s="0" t="s">
        <v>202</v>
      </c>
      <c r="BQ233" s="0" t="s">
        <v>187</v>
      </c>
      <c r="BR233" s="0" t="s">
        <v>203</v>
      </c>
      <c r="BS233" s="0" t="s">
        <v>694</v>
      </c>
      <c r="BT233" s="0" t="s">
        <v>205</v>
      </c>
      <c r="BU233" s="0" t="s">
        <v>216</v>
      </c>
      <c r="BW233" s="0" t="s">
        <v>206</v>
      </c>
      <c r="BX233" s="0" t="s">
        <v>217</v>
      </c>
      <c r="BY233" s="0" t="n">
        <v>200</v>
      </c>
      <c r="BZ233" s="0" t="n">
        <v>200</v>
      </c>
      <c r="CB233" s="0" t="s">
        <v>208</v>
      </c>
      <c r="CC233" s="0" t="s">
        <v>210</v>
      </c>
      <c r="CD233" s="0" t="s">
        <v>210</v>
      </c>
      <c r="CE233" s="0" t="s">
        <v>211</v>
      </c>
      <c r="CF233" s="0" t="s">
        <v>211</v>
      </c>
      <c r="CG233" s="0" t="s">
        <v>211</v>
      </c>
      <c r="CH233" s="1" t="n">
        <v>46112</v>
      </c>
      <c r="CI233" s="0" t="n">
        <v>1.2</v>
      </c>
      <c r="CJ233" s="0" t="n">
        <v>1.25</v>
      </c>
      <c r="CK233" s="0" t="n">
        <v>1.31</v>
      </c>
      <c r="CL233" s="0" t="s">
        <v>213</v>
      </c>
      <c r="DA233" s="0" t="n">
        <v>0.82</v>
      </c>
      <c r="DC233" s="0" t="n">
        <v>0.85</v>
      </c>
      <c r="DD233" s="0" t="s">
        <v>213</v>
      </c>
      <c r="ED233" s="0" t="s">
        <v>212</v>
      </c>
      <c r="EE233" s="0" t="n">
        <v>1.05</v>
      </c>
      <c r="EI233" s="0" t="n">
        <v>1.48</v>
      </c>
      <c r="FQ233" s="0" t="n">
        <v>74817684</v>
      </c>
    </row>
    <row r="234" customFormat="false" ht="15" hidden="false" customHeight="false" outlineLevel="0" collapsed="false">
      <c r="B234" s="0" t="str">
        <f aca="false">C234&amp;"x"&amp;I234</f>
        <v>61013x100253</v>
      </c>
      <c r="C234" s="0" t="n">
        <f aca="false">IF(G234="SINGLE",H234,G234)</f>
        <v>61013</v>
      </c>
      <c r="D234" s="0" t="e">
        <f aca="false">_xlfn.XLOOKUP(I234,calculations!$t:$t,calculations!$s:$s)</f>
        <v>#VALUE!</v>
      </c>
      <c r="E234" s="0" t="str">
        <f aca="false">_xlfn.XLOOKUP(I234,Mapping!$T:$T,Mapping!$Q:$Q)</f>
        <v>VALE46</v>
      </c>
      <c r="F234" s="1" t="n">
        <v>46203</v>
      </c>
      <c r="G234" s="0" t="n">
        <v>61013</v>
      </c>
      <c r="H234" s="0" t="n">
        <v>61013</v>
      </c>
      <c r="I234" s="0" t="n">
        <v>100253</v>
      </c>
      <c r="J234" s="0" t="s">
        <v>695</v>
      </c>
      <c r="K234" s="0" t="s">
        <v>260</v>
      </c>
      <c r="L234" s="0" t="s">
        <v>260</v>
      </c>
      <c r="M234" s="0" t="s">
        <v>184</v>
      </c>
      <c r="N234" s="0" t="n">
        <v>5745000</v>
      </c>
      <c r="O234" s="0" t="n">
        <v>508407.08</v>
      </c>
      <c r="P234" s="0" t="s">
        <v>185</v>
      </c>
      <c r="Q234" s="0" t="s">
        <v>227</v>
      </c>
      <c r="R234" s="0" t="s">
        <v>187</v>
      </c>
      <c r="S234" s="0" t="s">
        <v>696</v>
      </c>
      <c r="T234" s="0" t="s">
        <v>189</v>
      </c>
      <c r="U234" s="0" t="s">
        <v>432</v>
      </c>
      <c r="V234" s="0" t="s">
        <v>433</v>
      </c>
      <c r="W234" s="0" t="s">
        <v>262</v>
      </c>
      <c r="X234" s="0" t="s">
        <v>697</v>
      </c>
      <c r="Y234" s="0" t="n">
        <v>5.4</v>
      </c>
      <c r="Z234" s="0" t="s">
        <v>436</v>
      </c>
      <c r="AA234" s="0" t="n">
        <v>11.3</v>
      </c>
      <c r="AB234" s="0" t="s">
        <v>202</v>
      </c>
      <c r="AC234" s="0" t="n">
        <v>6127000</v>
      </c>
      <c r="AD234" s="0" t="n">
        <v>6127000</v>
      </c>
      <c r="AE234" s="0" t="n">
        <v>542212.39</v>
      </c>
      <c r="AF234" s="0" t="n">
        <v>0.9377</v>
      </c>
      <c r="AG234" s="0" t="n">
        <v>5745000</v>
      </c>
      <c r="AH234" s="0" t="n">
        <v>5745000</v>
      </c>
      <c r="AI234" s="0" t="n">
        <v>382000</v>
      </c>
      <c r="AJ234" s="0" t="n">
        <v>6127000</v>
      </c>
      <c r="AK234" s="0" t="n">
        <v>5745000</v>
      </c>
      <c r="AL234" s="0" t="n">
        <v>5745000</v>
      </c>
      <c r="AM234" s="0" t="s">
        <v>194</v>
      </c>
      <c r="AN234" s="0" t="n">
        <v>5.872</v>
      </c>
      <c r="AO234" s="0" t="n">
        <v>5.008</v>
      </c>
      <c r="AP234" s="0" t="n">
        <v>3.595</v>
      </c>
      <c r="AQ234" s="0" t="n">
        <v>100</v>
      </c>
      <c r="AR234" s="0" t="n">
        <v>100</v>
      </c>
      <c r="AS234" s="1" t="n">
        <v>42817</v>
      </c>
      <c r="AT234" s="1" t="n">
        <v>46835</v>
      </c>
      <c r="AU234" s="1" t="n">
        <v>46295</v>
      </c>
      <c r="AV234" s="0" t="s">
        <v>698</v>
      </c>
      <c r="AW234" s="0" t="s">
        <v>529</v>
      </c>
      <c r="AX234" s="0" t="s">
        <v>187</v>
      </c>
      <c r="AY234" s="0" t="s">
        <v>699</v>
      </c>
      <c r="AZ234" s="0" t="s">
        <v>700</v>
      </c>
      <c r="BA234" s="0" t="s">
        <v>433</v>
      </c>
      <c r="BB234" s="0" t="s">
        <v>529</v>
      </c>
      <c r="BC234" s="0" t="s">
        <v>701</v>
      </c>
      <c r="BI234" s="0" t="n">
        <v>6127000</v>
      </c>
      <c r="BJ234" s="0" t="n">
        <v>542212.39</v>
      </c>
      <c r="BK234" s="0" t="s">
        <v>200</v>
      </c>
      <c r="BL234" s="0" t="s">
        <v>201</v>
      </c>
      <c r="BN234" s="0" t="n">
        <v>6.6</v>
      </c>
      <c r="BO234" s="0" t="n">
        <v>1.73</v>
      </c>
      <c r="BP234" s="0" t="s">
        <v>202</v>
      </c>
      <c r="BQ234" s="0" t="s">
        <v>187</v>
      </c>
      <c r="BR234" s="0" t="s">
        <v>203</v>
      </c>
      <c r="BS234" s="0" t="s">
        <v>702</v>
      </c>
      <c r="BT234" s="0" t="s">
        <v>205</v>
      </c>
      <c r="BU234" s="0" t="s">
        <v>220</v>
      </c>
      <c r="BW234" s="0" t="s">
        <v>206</v>
      </c>
      <c r="BX234" s="0" t="s">
        <v>207</v>
      </c>
      <c r="BY234" s="0" t="n">
        <v>295</v>
      </c>
      <c r="BZ234" s="0" t="n">
        <v>295</v>
      </c>
      <c r="CB234" s="0" t="s">
        <v>208</v>
      </c>
      <c r="CC234" s="0" t="s">
        <v>289</v>
      </c>
      <c r="CD234" s="0" t="s">
        <v>289</v>
      </c>
      <c r="CE234" s="0" t="s">
        <v>211</v>
      </c>
      <c r="CF234" s="0" t="s">
        <v>211</v>
      </c>
      <c r="CG234" s="0" t="s">
        <v>211</v>
      </c>
      <c r="CH234" s="1" t="n">
        <v>46112</v>
      </c>
      <c r="CI234" s="0" t="n">
        <v>1.2</v>
      </c>
      <c r="CJ234" s="0" t="n">
        <v>2.59</v>
      </c>
      <c r="CK234" s="0" t="n">
        <v>2.72</v>
      </c>
      <c r="CL234" s="0" t="s">
        <v>212</v>
      </c>
      <c r="DA234" s="0" t="n">
        <v>0.73</v>
      </c>
      <c r="DC234" s="0" t="n">
        <v>0.85</v>
      </c>
      <c r="DD234" s="0" t="s">
        <v>212</v>
      </c>
      <c r="ED234" s="0" t="s">
        <v>212</v>
      </c>
      <c r="EE234" s="0" t="n">
        <v>1.05</v>
      </c>
      <c r="EI234" s="0" t="n">
        <v>1.92</v>
      </c>
      <c r="FQ234" s="0" t="n">
        <v>14254243</v>
      </c>
    </row>
    <row r="235" customFormat="false" ht="15" hidden="false" customHeight="false" outlineLevel="0" collapsed="false">
      <c r="B235" s="0" t="str">
        <f aca="false">C235&amp;"x"&amp;I235</f>
        <v>61027x100253</v>
      </c>
      <c r="C235" s="0" t="n">
        <f aca="false">IF(G235="SINGLE",H235,G235)</f>
        <v>61027</v>
      </c>
      <c r="D235" s="0" t="e">
        <f aca="false">_xlfn.XLOOKUP(I235,calculations!$t:$t,calculations!$s:$s)</f>
        <v>#VALUE!</v>
      </c>
      <c r="E235" s="0" t="str">
        <f aca="false">_xlfn.XLOOKUP(I235,Mapping!$T:$T,Mapping!$Q:$Q)</f>
        <v>VALE46</v>
      </c>
      <c r="F235" s="1" t="n">
        <v>46203</v>
      </c>
      <c r="G235" s="0" t="n">
        <v>61027</v>
      </c>
      <c r="H235" s="0" t="n">
        <v>61027</v>
      </c>
      <c r="I235" s="0" t="n">
        <v>100253</v>
      </c>
      <c r="J235" s="0" t="s">
        <v>695</v>
      </c>
      <c r="K235" s="0" t="s">
        <v>450</v>
      </c>
      <c r="L235" s="0" t="s">
        <v>450</v>
      </c>
      <c r="M235" s="0" t="s">
        <v>184</v>
      </c>
      <c r="N235" s="0" t="n">
        <v>9938000</v>
      </c>
      <c r="O235" s="0" t="n">
        <v>879469.03</v>
      </c>
      <c r="P235" s="0" t="s">
        <v>185</v>
      </c>
      <c r="Q235" s="0" t="s">
        <v>227</v>
      </c>
      <c r="R235" s="0" t="s">
        <v>187</v>
      </c>
      <c r="S235" s="0" t="s">
        <v>696</v>
      </c>
      <c r="T235" s="0" t="s">
        <v>189</v>
      </c>
      <c r="U235" s="0" t="s">
        <v>432</v>
      </c>
      <c r="V235" s="0" t="s">
        <v>433</v>
      </c>
      <c r="W235" s="0" t="s">
        <v>262</v>
      </c>
      <c r="X235" s="0" t="s">
        <v>697</v>
      </c>
      <c r="Y235" s="0" t="n">
        <v>5.4</v>
      </c>
      <c r="Z235" s="0" t="s">
        <v>436</v>
      </c>
      <c r="AA235" s="0" t="n">
        <v>11.3</v>
      </c>
      <c r="AB235" s="0" t="s">
        <v>202</v>
      </c>
      <c r="AC235" s="0" t="n">
        <v>10599000</v>
      </c>
      <c r="AD235" s="0" t="n">
        <v>10599000</v>
      </c>
      <c r="AE235" s="0" t="n">
        <v>937964.6</v>
      </c>
      <c r="AF235" s="0" t="n">
        <v>0.9376</v>
      </c>
      <c r="AG235" s="0" t="n">
        <v>9938000</v>
      </c>
      <c r="AH235" s="0" t="n">
        <v>9938000</v>
      </c>
      <c r="AI235" s="0" t="n">
        <v>661000</v>
      </c>
      <c r="AJ235" s="0" t="n">
        <v>10599000</v>
      </c>
      <c r="AK235" s="0" t="n">
        <v>9938000</v>
      </c>
      <c r="AL235" s="0" t="n">
        <v>9938000</v>
      </c>
      <c r="AM235" s="0" t="s">
        <v>194</v>
      </c>
      <c r="AN235" s="0" t="n">
        <v>3.206</v>
      </c>
      <c r="AO235" s="0" t="n">
        <v>6.452</v>
      </c>
      <c r="AP235" s="0" t="n">
        <v>2.982</v>
      </c>
      <c r="AQ235" s="0" t="n">
        <v>100</v>
      </c>
      <c r="AR235" s="0" t="n">
        <v>100</v>
      </c>
      <c r="AS235" s="1" t="n">
        <v>42817</v>
      </c>
      <c r="AT235" s="1" t="n">
        <v>46835</v>
      </c>
      <c r="AU235" s="1" t="n">
        <v>46295</v>
      </c>
      <c r="AV235" s="0" t="s">
        <v>698</v>
      </c>
      <c r="AW235" s="0" t="s">
        <v>529</v>
      </c>
      <c r="AX235" s="0" t="s">
        <v>187</v>
      </c>
      <c r="AY235" s="0" t="s">
        <v>699</v>
      </c>
      <c r="AZ235" s="0" t="s">
        <v>700</v>
      </c>
      <c r="BA235" s="0" t="s">
        <v>433</v>
      </c>
      <c r="BB235" s="0" t="s">
        <v>529</v>
      </c>
      <c r="BC235" s="0" t="s">
        <v>701</v>
      </c>
      <c r="BI235" s="0" t="n">
        <v>10599000</v>
      </c>
      <c r="BJ235" s="0" t="n">
        <v>937964.6</v>
      </c>
      <c r="BK235" s="0" t="s">
        <v>200</v>
      </c>
      <c r="BL235" s="0" t="s">
        <v>201</v>
      </c>
      <c r="BN235" s="0" t="n">
        <v>6.6</v>
      </c>
      <c r="BO235" s="0" t="n">
        <v>1.73</v>
      </c>
      <c r="BP235" s="0" t="s">
        <v>202</v>
      </c>
      <c r="BQ235" s="0" t="s">
        <v>187</v>
      </c>
      <c r="BR235" s="0" t="s">
        <v>203</v>
      </c>
      <c r="BS235" s="0" t="s">
        <v>702</v>
      </c>
      <c r="BT235" s="0" t="s">
        <v>205</v>
      </c>
      <c r="BU235" s="0" t="s">
        <v>220</v>
      </c>
      <c r="BW235" s="0" t="s">
        <v>206</v>
      </c>
      <c r="BX235" s="0" t="s">
        <v>217</v>
      </c>
      <c r="BY235" s="0" t="n">
        <v>295</v>
      </c>
      <c r="BZ235" s="0" t="n">
        <v>295</v>
      </c>
      <c r="CB235" s="0" t="s">
        <v>208</v>
      </c>
      <c r="CC235" s="0" t="s">
        <v>289</v>
      </c>
      <c r="CD235" s="0" t="s">
        <v>289</v>
      </c>
      <c r="CE235" s="0" t="s">
        <v>211</v>
      </c>
      <c r="CF235" s="0" t="s">
        <v>211</v>
      </c>
      <c r="CG235" s="0" t="s">
        <v>211</v>
      </c>
      <c r="CH235" s="1" t="n">
        <v>46112</v>
      </c>
      <c r="CI235" s="0" t="n">
        <v>1.2</v>
      </c>
      <c r="CJ235" s="0" t="n">
        <v>3.46</v>
      </c>
      <c r="CK235" s="0" t="n">
        <v>3.63</v>
      </c>
      <c r="CL235" s="0" t="s">
        <v>212</v>
      </c>
      <c r="DA235" s="0" t="n">
        <v>0.84</v>
      </c>
      <c r="DC235" s="0" t="n">
        <v>0.85</v>
      </c>
      <c r="DD235" s="0" t="s">
        <v>213</v>
      </c>
      <c r="ED235" s="0" t="s">
        <v>212</v>
      </c>
      <c r="EE235" s="0" t="n">
        <v>1.05</v>
      </c>
      <c r="EI235" s="0" t="n">
        <v>1.63</v>
      </c>
      <c r="FQ235" s="0" t="n">
        <v>17699637</v>
      </c>
    </row>
    <row r="236" customFormat="false" ht="15" hidden="false" customHeight="false" outlineLevel="0" collapsed="false">
      <c r="B236" s="0" t="str">
        <f aca="false">C236&amp;"x"&amp;I236</f>
        <v>61015x100253</v>
      </c>
      <c r="C236" s="0" t="n">
        <f aca="false">IF(G236="SINGLE",H236,G236)</f>
        <v>61015</v>
      </c>
      <c r="D236" s="0" t="e">
        <f aca="false">_xlfn.XLOOKUP(I236,calculations!$t:$t,calculations!$s:$s)</f>
        <v>#VALUE!</v>
      </c>
      <c r="E236" s="0" t="str">
        <f aca="false">_xlfn.XLOOKUP(I236,Mapping!$T:$T,Mapping!$Q:$Q)</f>
        <v>VALE46</v>
      </c>
      <c r="F236" s="1" t="n">
        <v>46203</v>
      </c>
      <c r="G236" s="0" t="n">
        <v>61015</v>
      </c>
      <c r="H236" s="0" t="n">
        <v>61015</v>
      </c>
      <c r="I236" s="0" t="n">
        <v>100253</v>
      </c>
      <c r="J236" s="0" t="s">
        <v>695</v>
      </c>
      <c r="K236" s="0" t="s">
        <v>215</v>
      </c>
      <c r="L236" s="0" t="s">
        <v>215</v>
      </c>
      <c r="M236" s="0" t="s">
        <v>184</v>
      </c>
      <c r="N236" s="0" t="n">
        <v>9972000</v>
      </c>
      <c r="O236" s="0" t="n">
        <v>882477.88</v>
      </c>
      <c r="P236" s="0" t="s">
        <v>185</v>
      </c>
      <c r="Q236" s="0" t="s">
        <v>227</v>
      </c>
      <c r="R236" s="0" t="s">
        <v>187</v>
      </c>
      <c r="S236" s="0" t="s">
        <v>696</v>
      </c>
      <c r="T236" s="0" t="s">
        <v>189</v>
      </c>
      <c r="U236" s="0" t="s">
        <v>432</v>
      </c>
      <c r="V236" s="0" t="s">
        <v>433</v>
      </c>
      <c r="W236" s="0" t="s">
        <v>262</v>
      </c>
      <c r="X236" s="0" t="s">
        <v>697</v>
      </c>
      <c r="Y236" s="0" t="n">
        <v>5.4</v>
      </c>
      <c r="Z236" s="0" t="s">
        <v>436</v>
      </c>
      <c r="AA236" s="0" t="n">
        <v>11.3</v>
      </c>
      <c r="AB236" s="0" t="s">
        <v>202</v>
      </c>
      <c r="AC236" s="0" t="n">
        <v>10635000</v>
      </c>
      <c r="AD236" s="0" t="n">
        <v>10635000</v>
      </c>
      <c r="AE236" s="0" t="n">
        <v>941150.44</v>
      </c>
      <c r="AF236" s="0" t="n">
        <v>0.9377</v>
      </c>
      <c r="AG236" s="0" t="n">
        <v>9972000</v>
      </c>
      <c r="AH236" s="0" t="n">
        <v>9972000</v>
      </c>
      <c r="AI236" s="0" t="n">
        <v>663000</v>
      </c>
      <c r="AJ236" s="0" t="n">
        <v>10635000</v>
      </c>
      <c r="AK236" s="0" t="n">
        <v>9972000</v>
      </c>
      <c r="AL236" s="0" t="n">
        <v>9972000</v>
      </c>
      <c r="AM236" s="0" t="s">
        <v>194</v>
      </c>
      <c r="AN236" s="0" t="n">
        <v>4.672</v>
      </c>
      <c r="AO236" s="0" t="n">
        <v>5.459</v>
      </c>
      <c r="AP236" s="0" t="n">
        <v>5.607</v>
      </c>
      <c r="AQ236" s="0" t="n">
        <v>100</v>
      </c>
      <c r="AR236" s="0" t="n">
        <v>100</v>
      </c>
      <c r="AS236" s="1" t="n">
        <v>42817</v>
      </c>
      <c r="AT236" s="1" t="n">
        <v>46835</v>
      </c>
      <c r="AU236" s="1" t="n">
        <v>46295</v>
      </c>
      <c r="AV236" s="0" t="s">
        <v>698</v>
      </c>
      <c r="AW236" s="0" t="s">
        <v>529</v>
      </c>
      <c r="AX236" s="0" t="s">
        <v>187</v>
      </c>
      <c r="AY236" s="0" t="s">
        <v>699</v>
      </c>
      <c r="AZ236" s="0" t="s">
        <v>700</v>
      </c>
      <c r="BA236" s="0" t="s">
        <v>433</v>
      </c>
      <c r="BB236" s="0" t="s">
        <v>529</v>
      </c>
      <c r="BC236" s="0" t="s">
        <v>701</v>
      </c>
      <c r="BI236" s="0" t="n">
        <v>10635000</v>
      </c>
      <c r="BJ236" s="0" t="n">
        <v>941150.44</v>
      </c>
      <c r="BK236" s="0" t="s">
        <v>200</v>
      </c>
      <c r="BL236" s="0" t="s">
        <v>201</v>
      </c>
      <c r="BN236" s="0" t="n">
        <v>6.6</v>
      </c>
      <c r="BO236" s="0" t="n">
        <v>1.73</v>
      </c>
      <c r="BP236" s="0" t="s">
        <v>202</v>
      </c>
      <c r="BQ236" s="0" t="s">
        <v>187</v>
      </c>
      <c r="BR236" s="0" t="s">
        <v>203</v>
      </c>
      <c r="BS236" s="0" t="s">
        <v>702</v>
      </c>
      <c r="BT236" s="0" t="s">
        <v>205</v>
      </c>
      <c r="BU236" s="0" t="s">
        <v>220</v>
      </c>
      <c r="BW236" s="0" t="s">
        <v>257</v>
      </c>
      <c r="BX236" s="0" t="s">
        <v>207</v>
      </c>
      <c r="BY236" s="0" t="n">
        <v>295</v>
      </c>
      <c r="BZ236" s="0" t="n">
        <v>295</v>
      </c>
      <c r="CB236" s="0" t="s">
        <v>208</v>
      </c>
      <c r="CC236" s="0" t="s">
        <v>289</v>
      </c>
      <c r="CD236" s="0" t="s">
        <v>289</v>
      </c>
      <c r="CE236" s="0" t="s">
        <v>211</v>
      </c>
      <c r="CF236" s="0" t="s">
        <v>211</v>
      </c>
      <c r="CG236" s="0" t="s">
        <v>211</v>
      </c>
      <c r="CH236" s="1" t="n">
        <v>46112</v>
      </c>
      <c r="CI236" s="0" t="n">
        <v>1.2</v>
      </c>
      <c r="CJ236" s="0" t="n">
        <v>2.44</v>
      </c>
      <c r="CK236" s="0" t="n">
        <v>2.56</v>
      </c>
      <c r="CL236" s="0" t="s">
        <v>212</v>
      </c>
      <c r="DA236" s="0" t="n">
        <v>0.55</v>
      </c>
      <c r="DC236" s="0" t="n">
        <v>0.85</v>
      </c>
      <c r="DD236" s="0" t="s">
        <v>212</v>
      </c>
      <c r="ED236" s="0" t="s">
        <v>213</v>
      </c>
      <c r="EE236" s="0" t="n">
        <v>1.05</v>
      </c>
      <c r="EI236" s="0" t="n">
        <v>1.16</v>
      </c>
      <c r="FQ236" s="0" t="n">
        <v>16844042</v>
      </c>
    </row>
    <row r="237" customFormat="false" ht="15" hidden="false" customHeight="false" outlineLevel="0" collapsed="false">
      <c r="B237" s="0" t="str">
        <f aca="false">C237&amp;"x"&amp;I237</f>
        <v>61025x100253</v>
      </c>
      <c r="C237" s="0" t="n">
        <f aca="false">IF(G237="SINGLE",H237,G237)</f>
        <v>61025</v>
      </c>
      <c r="D237" s="0" t="e">
        <f aca="false">_xlfn.XLOOKUP(I237,calculations!$t:$t,calculations!$s:$s)</f>
        <v>#VALUE!</v>
      </c>
      <c r="E237" s="0" t="str">
        <f aca="false">_xlfn.XLOOKUP(I237,Mapping!$T:$T,Mapping!$Q:$Q)</f>
        <v>VALE46</v>
      </c>
      <c r="F237" s="1" t="n">
        <v>46203</v>
      </c>
      <c r="G237" s="0" t="n">
        <v>61025</v>
      </c>
      <c r="H237" s="0" t="n">
        <v>61025</v>
      </c>
      <c r="I237" s="0" t="n">
        <v>100253</v>
      </c>
      <c r="J237" s="0" t="s">
        <v>695</v>
      </c>
      <c r="K237" s="0" t="s">
        <v>319</v>
      </c>
      <c r="L237" s="0" t="s">
        <v>319</v>
      </c>
      <c r="M237" s="0" t="s">
        <v>184</v>
      </c>
      <c r="N237" s="0" t="n">
        <v>12161000</v>
      </c>
      <c r="O237" s="0" t="n">
        <v>1076194.69</v>
      </c>
      <c r="P237" s="0" t="s">
        <v>185</v>
      </c>
      <c r="Q237" s="0" t="s">
        <v>227</v>
      </c>
      <c r="R237" s="0" t="s">
        <v>187</v>
      </c>
      <c r="S237" s="0" t="s">
        <v>696</v>
      </c>
      <c r="T237" s="0" t="s">
        <v>189</v>
      </c>
      <c r="U237" s="0" t="s">
        <v>432</v>
      </c>
      <c r="V237" s="0" t="s">
        <v>433</v>
      </c>
      <c r="W237" s="0" t="s">
        <v>262</v>
      </c>
      <c r="X237" s="0" t="s">
        <v>697</v>
      </c>
      <c r="Y237" s="0" t="n">
        <v>5.4</v>
      </c>
      <c r="Z237" s="0" t="s">
        <v>436</v>
      </c>
      <c r="AA237" s="0" t="n">
        <v>11.3</v>
      </c>
      <c r="AB237" s="0" t="s">
        <v>202</v>
      </c>
      <c r="AC237" s="0" t="n">
        <v>12969000</v>
      </c>
      <c r="AD237" s="0" t="n">
        <v>12969000</v>
      </c>
      <c r="AE237" s="0" t="n">
        <v>1147699.12</v>
      </c>
      <c r="AF237" s="0" t="n">
        <v>0.9377</v>
      </c>
      <c r="AG237" s="0" t="n">
        <v>12161000</v>
      </c>
      <c r="AH237" s="0" t="n">
        <v>12161000</v>
      </c>
      <c r="AI237" s="0" t="n">
        <v>808000</v>
      </c>
      <c r="AJ237" s="0" t="n">
        <v>12969000</v>
      </c>
      <c r="AK237" s="0" t="n">
        <v>12161000</v>
      </c>
      <c r="AL237" s="0" t="n">
        <v>12161000</v>
      </c>
      <c r="AM237" s="0" t="s">
        <v>194</v>
      </c>
      <c r="AN237" s="0" t="n">
        <v>5.96</v>
      </c>
      <c r="AO237" s="0" t="n">
        <v>4.783</v>
      </c>
      <c r="AP237" s="0" t="n">
        <v>4.824</v>
      </c>
      <c r="AQ237" s="0" t="n">
        <v>100</v>
      </c>
      <c r="AR237" s="0" t="n">
        <v>100</v>
      </c>
      <c r="AS237" s="1" t="n">
        <v>42817</v>
      </c>
      <c r="AT237" s="1" t="n">
        <v>46835</v>
      </c>
      <c r="AU237" s="1" t="n">
        <v>46295</v>
      </c>
      <c r="AV237" s="0" t="s">
        <v>698</v>
      </c>
      <c r="AW237" s="0" t="s">
        <v>529</v>
      </c>
      <c r="AX237" s="0" t="s">
        <v>187</v>
      </c>
      <c r="AY237" s="0" t="s">
        <v>699</v>
      </c>
      <c r="AZ237" s="0" t="s">
        <v>700</v>
      </c>
      <c r="BA237" s="0" t="s">
        <v>433</v>
      </c>
      <c r="BB237" s="0" t="s">
        <v>529</v>
      </c>
      <c r="BC237" s="0" t="s">
        <v>701</v>
      </c>
      <c r="BI237" s="0" t="n">
        <v>12969000</v>
      </c>
      <c r="BJ237" s="0" t="n">
        <v>1147699.12</v>
      </c>
      <c r="BK237" s="0" t="s">
        <v>200</v>
      </c>
      <c r="BL237" s="0" t="s">
        <v>201</v>
      </c>
      <c r="BN237" s="0" t="n">
        <v>6.6</v>
      </c>
      <c r="BO237" s="0" t="n">
        <v>1.73</v>
      </c>
      <c r="BP237" s="0" t="s">
        <v>202</v>
      </c>
      <c r="BQ237" s="0" t="s">
        <v>187</v>
      </c>
      <c r="BR237" s="0" t="s">
        <v>203</v>
      </c>
      <c r="BS237" s="0" t="s">
        <v>702</v>
      </c>
      <c r="BT237" s="0" t="s">
        <v>205</v>
      </c>
      <c r="BU237" s="0" t="s">
        <v>255</v>
      </c>
      <c r="BW237" s="0" t="s">
        <v>257</v>
      </c>
      <c r="BX237" s="0" t="s">
        <v>217</v>
      </c>
      <c r="BY237" s="0" t="n">
        <v>295</v>
      </c>
      <c r="BZ237" s="0" t="n">
        <v>295</v>
      </c>
      <c r="CB237" s="0" t="s">
        <v>208</v>
      </c>
      <c r="CC237" s="0" t="s">
        <v>289</v>
      </c>
      <c r="CD237" s="0" t="s">
        <v>289</v>
      </c>
      <c r="CE237" s="0" t="s">
        <v>211</v>
      </c>
      <c r="CF237" s="0" t="s">
        <v>211</v>
      </c>
      <c r="CG237" s="0" t="s">
        <v>211</v>
      </c>
      <c r="CH237" s="1" t="n">
        <v>46112</v>
      </c>
      <c r="CI237" s="0" t="n">
        <v>1.2</v>
      </c>
      <c r="CJ237" s="0" t="n">
        <v>3.22</v>
      </c>
      <c r="CK237" s="0" t="n">
        <v>3.38</v>
      </c>
      <c r="CL237" s="0" t="s">
        <v>212</v>
      </c>
      <c r="DA237" s="0" t="n">
        <v>0.72</v>
      </c>
      <c r="DC237" s="0" t="n">
        <v>0.85</v>
      </c>
      <c r="DD237" s="0" t="s">
        <v>212</v>
      </c>
      <c r="ED237" s="0" t="s">
        <v>212</v>
      </c>
      <c r="EE237" s="0" t="n">
        <v>1.05</v>
      </c>
      <c r="EI237" s="0" t="n">
        <v>1.84</v>
      </c>
      <c r="FQ237" s="0" t="n">
        <v>15285239</v>
      </c>
    </row>
    <row r="238" customFormat="false" ht="15" hidden="false" customHeight="false" outlineLevel="0" collapsed="false">
      <c r="B238" s="0" t="str">
        <f aca="false">C238&amp;"x"&amp;I238</f>
        <v>61008x100253</v>
      </c>
      <c r="C238" s="0" t="n">
        <f aca="false">IF(G238="SINGLE",H238,G238)</f>
        <v>61008</v>
      </c>
      <c r="D238" s="0" t="e">
        <f aca="false">_xlfn.XLOOKUP(I238,calculations!$t:$t,calculations!$s:$s)</f>
        <v>#VALUE!</v>
      </c>
      <c r="E238" s="0" t="str">
        <f aca="false">_xlfn.XLOOKUP(I238,Mapping!$T:$T,Mapping!$Q:$Q)</f>
        <v>VALE46</v>
      </c>
      <c r="F238" s="1" t="n">
        <v>46203</v>
      </c>
      <c r="G238" s="0" t="n">
        <v>61008</v>
      </c>
      <c r="H238" s="0" t="n">
        <v>61008</v>
      </c>
      <c r="I238" s="0" t="n">
        <v>100253</v>
      </c>
      <c r="J238" s="0" t="s">
        <v>695</v>
      </c>
      <c r="K238" s="0" t="s">
        <v>277</v>
      </c>
      <c r="L238" s="0" t="s">
        <v>277</v>
      </c>
      <c r="M238" s="0" t="s">
        <v>184</v>
      </c>
      <c r="N238" s="0" t="n">
        <v>11301000</v>
      </c>
      <c r="O238" s="0" t="n">
        <v>1000088.5</v>
      </c>
      <c r="P238" s="0" t="s">
        <v>185</v>
      </c>
      <c r="Q238" s="0" t="s">
        <v>227</v>
      </c>
      <c r="R238" s="0" t="s">
        <v>187</v>
      </c>
      <c r="S238" s="0" t="s">
        <v>696</v>
      </c>
      <c r="T238" s="0" t="s">
        <v>189</v>
      </c>
      <c r="U238" s="0" t="s">
        <v>432</v>
      </c>
      <c r="V238" s="0" t="s">
        <v>433</v>
      </c>
      <c r="W238" s="0" t="s">
        <v>262</v>
      </c>
      <c r="X238" s="0" t="s">
        <v>697</v>
      </c>
      <c r="Y238" s="0" t="n">
        <v>5.4</v>
      </c>
      <c r="Z238" s="0" t="s">
        <v>436</v>
      </c>
      <c r="AA238" s="0" t="n">
        <v>11.3</v>
      </c>
      <c r="AB238" s="0" t="s">
        <v>202</v>
      </c>
      <c r="AC238" s="0" t="n">
        <v>12052000</v>
      </c>
      <c r="AD238" s="0" t="n">
        <v>12052000</v>
      </c>
      <c r="AE238" s="0" t="n">
        <v>1066548.67</v>
      </c>
      <c r="AF238" s="0" t="n">
        <v>0.9377</v>
      </c>
      <c r="AG238" s="0" t="n">
        <v>11301000</v>
      </c>
      <c r="AH238" s="0" t="n">
        <v>11301000</v>
      </c>
      <c r="AI238" s="0" t="n">
        <v>751000</v>
      </c>
      <c r="AJ238" s="0" t="n">
        <v>12052000</v>
      </c>
      <c r="AK238" s="0" t="n">
        <v>11301000</v>
      </c>
      <c r="AL238" s="0" t="n">
        <v>11301000</v>
      </c>
      <c r="AM238" s="0" t="s">
        <v>194</v>
      </c>
      <c r="AN238" s="0" t="n">
        <v>2.674</v>
      </c>
      <c r="AO238" s="0" t="n">
        <v>4.948</v>
      </c>
      <c r="AP238" s="0" t="n">
        <v>6.111</v>
      </c>
      <c r="AQ238" s="0" t="n">
        <v>100</v>
      </c>
      <c r="AR238" s="0" t="n">
        <v>100</v>
      </c>
      <c r="AS238" s="1" t="n">
        <v>42817</v>
      </c>
      <c r="AT238" s="1" t="n">
        <v>46835</v>
      </c>
      <c r="AU238" s="1" t="n">
        <v>46295</v>
      </c>
      <c r="AV238" s="0" t="s">
        <v>698</v>
      </c>
      <c r="AW238" s="0" t="s">
        <v>529</v>
      </c>
      <c r="AX238" s="0" t="s">
        <v>187</v>
      </c>
      <c r="AY238" s="0" t="s">
        <v>699</v>
      </c>
      <c r="AZ238" s="0" t="s">
        <v>700</v>
      </c>
      <c r="BA238" s="0" t="s">
        <v>433</v>
      </c>
      <c r="BB238" s="0" t="s">
        <v>529</v>
      </c>
      <c r="BC238" s="0" t="s">
        <v>701</v>
      </c>
      <c r="BI238" s="0" t="n">
        <v>12052000</v>
      </c>
      <c r="BJ238" s="0" t="n">
        <v>1066548.67</v>
      </c>
      <c r="BK238" s="0" t="s">
        <v>200</v>
      </c>
      <c r="BL238" s="0" t="s">
        <v>201</v>
      </c>
      <c r="BN238" s="0" t="n">
        <v>6.6</v>
      </c>
      <c r="BO238" s="0" t="n">
        <v>1.73</v>
      </c>
      <c r="BP238" s="0" t="s">
        <v>202</v>
      </c>
      <c r="BQ238" s="0" t="s">
        <v>187</v>
      </c>
      <c r="BR238" s="0" t="s">
        <v>203</v>
      </c>
      <c r="BS238" s="0" t="s">
        <v>702</v>
      </c>
      <c r="BT238" s="0" t="s">
        <v>205</v>
      </c>
      <c r="BU238" s="0" t="s">
        <v>205</v>
      </c>
      <c r="BW238" s="0" t="s">
        <v>206</v>
      </c>
      <c r="BX238" s="0" t="s">
        <v>217</v>
      </c>
      <c r="BY238" s="0" t="n">
        <v>295</v>
      </c>
      <c r="BZ238" s="0" t="n">
        <v>295</v>
      </c>
      <c r="CB238" s="0" t="s">
        <v>208</v>
      </c>
      <c r="CC238" s="0" t="s">
        <v>289</v>
      </c>
      <c r="CD238" s="0" t="s">
        <v>289</v>
      </c>
      <c r="CE238" s="0" t="s">
        <v>211</v>
      </c>
      <c r="CF238" s="0" t="s">
        <v>211</v>
      </c>
      <c r="CG238" s="0" t="s">
        <v>211</v>
      </c>
      <c r="CH238" s="1" t="n">
        <v>46112</v>
      </c>
      <c r="CI238" s="0" t="n">
        <v>1.2</v>
      </c>
      <c r="CJ238" s="0" t="n">
        <v>3.01</v>
      </c>
      <c r="CK238" s="0" t="n">
        <v>3.16</v>
      </c>
      <c r="CL238" s="0" t="s">
        <v>212</v>
      </c>
      <c r="DA238" s="0" t="n">
        <v>0.51</v>
      </c>
      <c r="DC238" s="0" t="n">
        <v>0.85</v>
      </c>
      <c r="DD238" s="0" t="s">
        <v>212</v>
      </c>
      <c r="ED238" s="0" t="s">
        <v>213</v>
      </c>
      <c r="EE238" s="0" t="n">
        <v>1.05</v>
      </c>
      <c r="EI238" s="0" t="n">
        <v>1.14</v>
      </c>
      <c r="FQ238" s="0" t="n">
        <v>16816645</v>
      </c>
    </row>
    <row r="239" customFormat="false" ht="15" hidden="false" customHeight="false" outlineLevel="0" collapsed="false">
      <c r="B239" s="0" t="str">
        <f aca="false">C239&amp;"x"&amp;I239</f>
        <v>61026x100254</v>
      </c>
      <c r="C239" s="0" t="n">
        <f aca="false">IF(G239="SINGLE",H239,G239)</f>
        <v>61026</v>
      </c>
      <c r="D239" s="0" t="e">
        <f aca="false">_xlfn.XLOOKUP(I239,calculations!$t:$t,calculations!$s:$s)</f>
        <v>#VALUE!</v>
      </c>
      <c r="E239" s="0" t="str">
        <f aca="false">_xlfn.XLOOKUP(I239,Mapping!$T:$T,Mapping!$Q:$Q)</f>
        <v>WREN47</v>
      </c>
      <c r="F239" s="1" t="n">
        <v>46203</v>
      </c>
      <c r="G239" s="0" t="n">
        <v>61026</v>
      </c>
      <c r="H239" s="0" t="n">
        <v>61026</v>
      </c>
      <c r="I239" s="0" t="n">
        <v>100254</v>
      </c>
      <c r="J239" s="0" t="s">
        <v>703</v>
      </c>
      <c r="K239" s="0" t="s">
        <v>398</v>
      </c>
      <c r="L239" s="0" t="s">
        <v>398</v>
      </c>
      <c r="M239" s="0" t="s">
        <v>184</v>
      </c>
      <c r="N239" s="0" t="n">
        <v>46480000</v>
      </c>
      <c r="O239" s="0" t="n">
        <v>46480000</v>
      </c>
      <c r="P239" s="0" t="s">
        <v>185</v>
      </c>
      <c r="Q239" s="0" t="s">
        <v>186</v>
      </c>
      <c r="R239" s="0" t="s">
        <v>187</v>
      </c>
      <c r="S239" s="0" t="s">
        <v>704</v>
      </c>
      <c r="T239" s="0" t="s">
        <v>189</v>
      </c>
      <c r="U239" s="0" t="s">
        <v>307</v>
      </c>
      <c r="V239" s="0" t="s">
        <v>308</v>
      </c>
      <c r="W239" s="0" t="s">
        <v>483</v>
      </c>
      <c r="X239" s="0" t="s">
        <v>705</v>
      </c>
      <c r="Y239" s="0" t="n">
        <v>18.5</v>
      </c>
      <c r="Z239" s="0" t="s">
        <v>185</v>
      </c>
      <c r="AA239" s="0" t="n">
        <v>1</v>
      </c>
      <c r="AB239" s="0" t="s">
        <v>187</v>
      </c>
      <c r="AC239" s="0" t="n">
        <v>87108000</v>
      </c>
      <c r="AD239" s="0" t="n">
        <v>87108000</v>
      </c>
      <c r="AE239" s="0" t="n">
        <v>87108000</v>
      </c>
      <c r="AF239" s="0" t="n">
        <v>0.5336</v>
      </c>
      <c r="AG239" s="0" t="n">
        <v>46480000</v>
      </c>
      <c r="AH239" s="0" t="n">
        <v>46480000</v>
      </c>
      <c r="AI239" s="0" t="n">
        <v>40628000</v>
      </c>
      <c r="AJ239" s="0" t="n">
        <v>87108000</v>
      </c>
      <c r="AK239" s="0" t="n">
        <v>46480000</v>
      </c>
      <c r="AL239" s="0" t="n">
        <v>46480000</v>
      </c>
      <c r="AN239" s="0" t="n">
        <v>4.782</v>
      </c>
      <c r="AO239" s="0" t="n">
        <v>5.103</v>
      </c>
      <c r="AP239" s="0" t="n">
        <v>5.943</v>
      </c>
      <c r="AQ239" s="0" t="n">
        <v>100</v>
      </c>
      <c r="AR239" s="0" t="n">
        <v>100</v>
      </c>
      <c r="AS239" s="1" t="n">
        <v>43592</v>
      </c>
      <c r="AT239" s="1" t="n">
        <v>53273</v>
      </c>
      <c r="AU239" s="1" t="n">
        <v>46295</v>
      </c>
      <c r="AV239" s="0" t="s">
        <v>706</v>
      </c>
      <c r="AW239" s="0" t="s">
        <v>384</v>
      </c>
      <c r="AX239" s="0" t="s">
        <v>187</v>
      </c>
      <c r="AY239" s="0" t="s">
        <v>707</v>
      </c>
      <c r="AZ239" s="0" t="s">
        <v>708</v>
      </c>
      <c r="BA239" s="0" t="s">
        <v>308</v>
      </c>
      <c r="BB239" s="0" t="s">
        <v>384</v>
      </c>
      <c r="BC239" s="0" t="s">
        <v>709</v>
      </c>
      <c r="BI239" s="0" t="n">
        <v>87108000</v>
      </c>
      <c r="BJ239" s="0" t="n">
        <v>87108000</v>
      </c>
      <c r="BK239" s="0" t="s">
        <v>253</v>
      </c>
      <c r="BL239" s="0" t="s">
        <v>201</v>
      </c>
      <c r="BN239" s="0" t="n">
        <v>15.9</v>
      </c>
      <c r="BO239" s="0" t="n">
        <v>19.36</v>
      </c>
      <c r="BP239" s="0" t="s">
        <v>187</v>
      </c>
      <c r="BQ239" s="0" t="s">
        <v>187</v>
      </c>
      <c r="BR239" s="0" t="s">
        <v>203</v>
      </c>
      <c r="BS239" s="0" t="s">
        <v>710</v>
      </c>
      <c r="BT239" s="0" t="s">
        <v>220</v>
      </c>
      <c r="BU239" s="0" t="s">
        <v>269</v>
      </c>
      <c r="BW239" s="0" t="s">
        <v>206</v>
      </c>
      <c r="BX239" s="0" t="s">
        <v>217</v>
      </c>
      <c r="BY239" s="0" t="n">
        <v>300</v>
      </c>
      <c r="BZ239" s="0" t="n">
        <v>300</v>
      </c>
      <c r="CC239" s="0" t="s">
        <v>409</v>
      </c>
      <c r="CD239" s="0" t="s">
        <v>409</v>
      </c>
      <c r="CE239" s="0" t="s">
        <v>211</v>
      </c>
      <c r="CF239" s="0" t="s">
        <v>211</v>
      </c>
      <c r="CG239" s="0" t="s">
        <v>211</v>
      </c>
      <c r="CH239" s="1" t="n">
        <v>46112</v>
      </c>
      <c r="CI239" s="0" t="n">
        <v>1.2</v>
      </c>
      <c r="CJ239" s="0" t="n">
        <v>3.4</v>
      </c>
      <c r="CK239" s="0" t="n">
        <v>3.57</v>
      </c>
      <c r="CL239" s="0" t="s">
        <v>212</v>
      </c>
      <c r="DA239" s="0" t="n">
        <v>0.48</v>
      </c>
      <c r="DC239" s="0" t="n">
        <v>0.85</v>
      </c>
      <c r="DD239" s="0" t="s">
        <v>212</v>
      </c>
      <c r="ED239" s="0" t="s">
        <v>213</v>
      </c>
      <c r="EE239" s="0" t="n">
        <v>1.05</v>
      </c>
      <c r="EI239" s="0" t="n">
        <v>1.15</v>
      </c>
      <c r="FQ239" s="0" t="n">
        <v>40403258</v>
      </c>
    </row>
    <row r="240" customFormat="false" ht="15" hidden="false" customHeight="false" outlineLevel="0" collapsed="false">
      <c r="B240" s="0" t="str">
        <f aca="false">C240&amp;"x"&amp;I240</f>
        <v>61023x100254</v>
      </c>
      <c r="C240" s="0" t="n">
        <f aca="false">IF(G240="SINGLE",H240,G240)</f>
        <v>61023</v>
      </c>
      <c r="D240" s="0" t="e">
        <f aca="false">_xlfn.XLOOKUP(I240,calculations!$t:$t,calculations!$s:$s)</f>
        <v>#VALUE!</v>
      </c>
      <c r="E240" s="0" t="str">
        <f aca="false">_xlfn.XLOOKUP(I240,Mapping!$T:$T,Mapping!$Q:$Q)</f>
        <v>WREN47</v>
      </c>
      <c r="F240" s="1" t="n">
        <v>46203</v>
      </c>
      <c r="G240" s="0" t="n">
        <v>61023</v>
      </c>
      <c r="H240" s="0" t="n">
        <v>61023</v>
      </c>
      <c r="I240" s="0" t="n">
        <v>100254</v>
      </c>
      <c r="J240" s="0" t="s">
        <v>703</v>
      </c>
      <c r="K240" s="0" t="s">
        <v>221</v>
      </c>
      <c r="L240" s="0" t="s">
        <v>221</v>
      </c>
      <c r="M240" s="0" t="s">
        <v>184</v>
      </c>
      <c r="N240" s="0" t="n">
        <v>28714000</v>
      </c>
      <c r="O240" s="0" t="n">
        <v>28714000</v>
      </c>
      <c r="P240" s="0" t="s">
        <v>185</v>
      </c>
      <c r="Q240" s="0" t="s">
        <v>186</v>
      </c>
      <c r="R240" s="0" t="s">
        <v>187</v>
      </c>
      <c r="S240" s="0" t="s">
        <v>704</v>
      </c>
      <c r="T240" s="0" t="s">
        <v>189</v>
      </c>
      <c r="U240" s="0" t="s">
        <v>307</v>
      </c>
      <c r="V240" s="0" t="s">
        <v>308</v>
      </c>
      <c r="W240" s="0" t="s">
        <v>483</v>
      </c>
      <c r="X240" s="0" t="s">
        <v>705</v>
      </c>
      <c r="Y240" s="0" t="n">
        <v>18.5</v>
      </c>
      <c r="Z240" s="0" t="s">
        <v>185</v>
      </c>
      <c r="AA240" s="0" t="n">
        <v>1</v>
      </c>
      <c r="AB240" s="0" t="s">
        <v>187</v>
      </c>
      <c r="AC240" s="0" t="n">
        <v>53813000</v>
      </c>
      <c r="AD240" s="0" t="n">
        <v>53813000</v>
      </c>
      <c r="AE240" s="0" t="n">
        <v>53813000</v>
      </c>
      <c r="AF240" s="0" t="n">
        <v>0.5336</v>
      </c>
      <c r="AG240" s="0" t="n">
        <v>28714000</v>
      </c>
      <c r="AH240" s="0" t="n">
        <v>28714000</v>
      </c>
      <c r="AI240" s="0" t="n">
        <v>25099000</v>
      </c>
      <c r="AJ240" s="0" t="n">
        <v>53813000</v>
      </c>
      <c r="AK240" s="0" t="n">
        <v>28714000</v>
      </c>
      <c r="AL240" s="0" t="n">
        <v>28714000</v>
      </c>
      <c r="AN240" s="0" t="n">
        <v>6.155</v>
      </c>
      <c r="AO240" s="0" t="n">
        <v>4.239</v>
      </c>
      <c r="AP240" s="0" t="n">
        <v>4.635</v>
      </c>
      <c r="AQ240" s="0" t="n">
        <v>100</v>
      </c>
      <c r="AR240" s="0" t="n">
        <v>100</v>
      </c>
      <c r="AS240" s="1" t="n">
        <v>43592</v>
      </c>
      <c r="AT240" s="1" t="n">
        <v>53273</v>
      </c>
      <c r="AU240" s="1" t="n">
        <v>46295</v>
      </c>
      <c r="AV240" s="0" t="s">
        <v>706</v>
      </c>
      <c r="AW240" s="0" t="s">
        <v>384</v>
      </c>
      <c r="AX240" s="0" t="s">
        <v>187</v>
      </c>
      <c r="AY240" s="0" t="s">
        <v>707</v>
      </c>
      <c r="AZ240" s="0" t="s">
        <v>708</v>
      </c>
      <c r="BA240" s="0" t="s">
        <v>308</v>
      </c>
      <c r="BB240" s="0" t="s">
        <v>384</v>
      </c>
      <c r="BC240" s="0" t="s">
        <v>709</v>
      </c>
      <c r="BI240" s="0" t="n">
        <v>53813000</v>
      </c>
      <c r="BJ240" s="0" t="n">
        <v>53813000</v>
      </c>
      <c r="BK240" s="0" t="s">
        <v>253</v>
      </c>
      <c r="BL240" s="0" t="s">
        <v>201</v>
      </c>
      <c r="BN240" s="0" t="n">
        <v>15.9</v>
      </c>
      <c r="BO240" s="0" t="n">
        <v>19.36</v>
      </c>
      <c r="BP240" s="0" t="s">
        <v>187</v>
      </c>
      <c r="BQ240" s="0" t="s">
        <v>187</v>
      </c>
      <c r="BR240" s="0" t="s">
        <v>203</v>
      </c>
      <c r="BS240" s="0" t="s">
        <v>710</v>
      </c>
      <c r="BT240" s="0" t="s">
        <v>220</v>
      </c>
      <c r="BU240" s="0" t="s">
        <v>220</v>
      </c>
      <c r="BW240" s="0" t="s">
        <v>257</v>
      </c>
      <c r="BX240" s="0" t="s">
        <v>217</v>
      </c>
      <c r="BY240" s="0" t="n">
        <v>300</v>
      </c>
      <c r="BZ240" s="0" t="n">
        <v>300</v>
      </c>
      <c r="CC240" s="0" t="s">
        <v>409</v>
      </c>
      <c r="CD240" s="0" t="s">
        <v>409</v>
      </c>
      <c r="CE240" s="0" t="s">
        <v>211</v>
      </c>
      <c r="CF240" s="0" t="s">
        <v>211</v>
      </c>
      <c r="CG240" s="0" t="s">
        <v>211</v>
      </c>
      <c r="CH240" s="1" t="n">
        <v>46112</v>
      </c>
      <c r="CI240" s="0" t="n">
        <v>1.2</v>
      </c>
      <c r="CJ240" s="0" t="n">
        <v>1.86</v>
      </c>
      <c r="CK240" s="0" t="n">
        <v>1.95</v>
      </c>
      <c r="CL240" s="0" t="s">
        <v>212</v>
      </c>
      <c r="DA240" s="0" t="n">
        <v>0.5</v>
      </c>
      <c r="DC240" s="0" t="n">
        <v>0.85</v>
      </c>
      <c r="DD240" s="0" t="s">
        <v>212</v>
      </c>
      <c r="ED240" s="0" t="s">
        <v>212</v>
      </c>
      <c r="EE240" s="0" t="n">
        <v>1.05</v>
      </c>
      <c r="EI240" s="0" t="n">
        <v>1.36</v>
      </c>
      <c r="FQ240" s="0" t="n">
        <v>48458640</v>
      </c>
    </row>
    <row r="241" customFormat="false" ht="15" hidden="false" customHeight="false" outlineLevel="0" collapsed="false">
      <c r="B241" s="0" t="str">
        <f aca="false">C241&amp;"x"&amp;I241</f>
        <v>61013x100254</v>
      </c>
      <c r="C241" s="0" t="n">
        <f aca="false">IF(G241="SINGLE",H241,G241)</f>
        <v>61013</v>
      </c>
      <c r="D241" s="0" t="e">
        <f aca="false">_xlfn.XLOOKUP(I241,calculations!$t:$t,calculations!$s:$s)</f>
        <v>#VALUE!</v>
      </c>
      <c r="E241" s="0" t="str">
        <f aca="false">_xlfn.XLOOKUP(I241,Mapping!$T:$T,Mapping!$Q:$Q)</f>
        <v>WREN47</v>
      </c>
      <c r="F241" s="1" t="n">
        <v>46203</v>
      </c>
      <c r="G241" s="0" t="n">
        <v>61013</v>
      </c>
      <c r="H241" s="0" t="n">
        <v>61013</v>
      </c>
      <c r="I241" s="0" t="n">
        <v>100254</v>
      </c>
      <c r="J241" s="0" t="s">
        <v>703</v>
      </c>
      <c r="K241" s="0" t="s">
        <v>260</v>
      </c>
      <c r="L241" s="0" t="s">
        <v>260</v>
      </c>
      <c r="M241" s="0" t="s">
        <v>184</v>
      </c>
      <c r="N241" s="0" t="n">
        <v>17591000</v>
      </c>
      <c r="O241" s="0" t="n">
        <v>17591000</v>
      </c>
      <c r="P241" s="0" t="s">
        <v>185</v>
      </c>
      <c r="Q241" s="0" t="s">
        <v>186</v>
      </c>
      <c r="R241" s="0" t="s">
        <v>187</v>
      </c>
      <c r="S241" s="0" t="s">
        <v>704</v>
      </c>
      <c r="T241" s="0" t="s">
        <v>189</v>
      </c>
      <c r="U241" s="0" t="s">
        <v>307</v>
      </c>
      <c r="V241" s="0" t="s">
        <v>308</v>
      </c>
      <c r="W241" s="0" t="s">
        <v>483</v>
      </c>
      <c r="X241" s="0" t="s">
        <v>705</v>
      </c>
      <c r="Y241" s="0" t="n">
        <v>18.5</v>
      </c>
      <c r="Z241" s="0" t="s">
        <v>185</v>
      </c>
      <c r="AA241" s="0" t="n">
        <v>1</v>
      </c>
      <c r="AB241" s="0" t="s">
        <v>187</v>
      </c>
      <c r="AC241" s="0" t="n">
        <v>32966000</v>
      </c>
      <c r="AD241" s="0" t="n">
        <v>32966000</v>
      </c>
      <c r="AE241" s="0" t="n">
        <v>32966000</v>
      </c>
      <c r="AF241" s="0" t="n">
        <v>0.5336</v>
      </c>
      <c r="AG241" s="0" t="n">
        <v>17591000</v>
      </c>
      <c r="AH241" s="0" t="n">
        <v>17591000</v>
      </c>
      <c r="AI241" s="0" t="n">
        <v>15375000</v>
      </c>
      <c r="AJ241" s="0" t="n">
        <v>32966000</v>
      </c>
      <c r="AK241" s="0" t="n">
        <v>17591000</v>
      </c>
      <c r="AL241" s="0" t="n">
        <v>17591000</v>
      </c>
      <c r="AN241" s="0" t="n">
        <v>2.669</v>
      </c>
      <c r="AO241" s="0" t="n">
        <v>5.612</v>
      </c>
      <c r="AP241" s="0" t="n">
        <v>3.502</v>
      </c>
      <c r="AQ241" s="0" t="n">
        <v>100</v>
      </c>
      <c r="AR241" s="0" t="n">
        <v>100</v>
      </c>
      <c r="AS241" s="1" t="n">
        <v>43592</v>
      </c>
      <c r="AT241" s="1" t="n">
        <v>53273</v>
      </c>
      <c r="AU241" s="1" t="n">
        <v>46295</v>
      </c>
      <c r="AV241" s="0" t="s">
        <v>706</v>
      </c>
      <c r="AW241" s="0" t="s">
        <v>384</v>
      </c>
      <c r="AX241" s="0" t="s">
        <v>187</v>
      </c>
      <c r="AY241" s="0" t="s">
        <v>707</v>
      </c>
      <c r="AZ241" s="0" t="s">
        <v>708</v>
      </c>
      <c r="BA241" s="0" t="s">
        <v>308</v>
      </c>
      <c r="BB241" s="0" t="s">
        <v>384</v>
      </c>
      <c r="BC241" s="0" t="s">
        <v>709</v>
      </c>
      <c r="BI241" s="0" t="n">
        <v>32966000</v>
      </c>
      <c r="BJ241" s="0" t="n">
        <v>32966000</v>
      </c>
      <c r="BK241" s="0" t="s">
        <v>253</v>
      </c>
      <c r="BL241" s="0" t="s">
        <v>201</v>
      </c>
      <c r="BN241" s="0" t="n">
        <v>15.9</v>
      </c>
      <c r="BO241" s="0" t="n">
        <v>19.36</v>
      </c>
      <c r="BP241" s="0" t="s">
        <v>187</v>
      </c>
      <c r="BQ241" s="0" t="s">
        <v>187</v>
      </c>
      <c r="BR241" s="0" t="s">
        <v>203</v>
      </c>
      <c r="BS241" s="0" t="s">
        <v>710</v>
      </c>
      <c r="BT241" s="0" t="s">
        <v>220</v>
      </c>
      <c r="BU241" s="0" t="s">
        <v>205</v>
      </c>
      <c r="BW241" s="0" t="s">
        <v>257</v>
      </c>
      <c r="BX241" s="0" t="s">
        <v>207</v>
      </c>
      <c r="BY241" s="0" t="n">
        <v>300</v>
      </c>
      <c r="BZ241" s="0" t="n">
        <v>300</v>
      </c>
      <c r="CC241" s="0" t="s">
        <v>409</v>
      </c>
      <c r="CD241" s="0" t="s">
        <v>409</v>
      </c>
      <c r="CE241" s="0" t="s">
        <v>211</v>
      </c>
      <c r="CF241" s="0" t="s">
        <v>211</v>
      </c>
      <c r="CG241" s="0" t="s">
        <v>211</v>
      </c>
      <c r="CH241" s="1" t="n">
        <v>46112</v>
      </c>
      <c r="CI241" s="0" t="n">
        <v>1.2</v>
      </c>
      <c r="CJ241" s="0" t="n">
        <v>2.46</v>
      </c>
      <c r="CK241" s="0" t="n">
        <v>2.58</v>
      </c>
      <c r="CL241" s="0" t="s">
        <v>212</v>
      </c>
      <c r="DA241" s="0" t="n">
        <v>0.76</v>
      </c>
      <c r="DC241" s="0" t="n">
        <v>0.85</v>
      </c>
      <c r="DD241" s="0" t="s">
        <v>212</v>
      </c>
      <c r="ED241" s="0" t="s">
        <v>212</v>
      </c>
      <c r="EE241" s="0" t="n">
        <v>1.05</v>
      </c>
      <c r="EI241" s="0" t="n">
        <v>1.89</v>
      </c>
      <c r="FQ241" s="0" t="n">
        <v>39470421</v>
      </c>
    </row>
    <row r="242" customFormat="false" ht="15" hidden="false" customHeight="false" outlineLevel="0" collapsed="false">
      <c r="B242" s="0" t="str">
        <f aca="false">C242&amp;"x"&amp;I242</f>
        <v>61022x100255</v>
      </c>
      <c r="C242" s="0" t="n">
        <f aca="false">IF(G242="SINGLE",H242,G242)</f>
        <v>61022</v>
      </c>
      <c r="D242" s="0" t="e">
        <f aca="false">_xlfn.XLOOKUP(I242,calculations!$t:$t,calculations!$s:$s)</f>
        <v>#VALUE!</v>
      </c>
      <c r="E242" s="0" t="str">
        <f aca="false">_xlfn.XLOOKUP(I242,Mapping!$T:$T,Mapping!$Q:$Q)</f>
        <v>YARR48</v>
      </c>
      <c r="F242" s="1" t="n">
        <v>46203</v>
      </c>
      <c r="G242" s="0" t="n">
        <v>61022</v>
      </c>
      <c r="H242" s="0" t="n">
        <v>61022</v>
      </c>
      <c r="I242" s="0" t="n">
        <v>100255</v>
      </c>
      <c r="J242" s="0" t="s">
        <v>711</v>
      </c>
      <c r="K242" s="0" t="s">
        <v>273</v>
      </c>
      <c r="L242" s="0" t="s">
        <v>273</v>
      </c>
      <c r="M242" s="0" t="s">
        <v>184</v>
      </c>
      <c r="N242" s="0" t="n">
        <v>62938000</v>
      </c>
      <c r="O242" s="0" t="n">
        <v>5569734.51</v>
      </c>
      <c r="P242" s="0" t="s">
        <v>185</v>
      </c>
      <c r="Q242" s="0" t="s">
        <v>227</v>
      </c>
      <c r="R242" s="0" t="s">
        <v>187</v>
      </c>
      <c r="S242" s="0" t="s">
        <v>712</v>
      </c>
      <c r="T242" s="0" t="s">
        <v>189</v>
      </c>
      <c r="U242" s="0" t="s">
        <v>432</v>
      </c>
      <c r="V242" s="0" t="s">
        <v>433</v>
      </c>
      <c r="W242" s="0" t="s">
        <v>296</v>
      </c>
      <c r="X242" s="0" t="s">
        <v>713</v>
      </c>
      <c r="Y242" s="0" t="n">
        <v>7.5</v>
      </c>
      <c r="Z242" s="0" t="s">
        <v>436</v>
      </c>
      <c r="AA242" s="0" t="n">
        <v>11.3</v>
      </c>
      <c r="AB242" s="0" t="s">
        <v>202</v>
      </c>
      <c r="AC242" s="0" t="n">
        <v>68262000</v>
      </c>
      <c r="AD242" s="0" t="n">
        <v>68262000</v>
      </c>
      <c r="AE242" s="0" t="n">
        <v>6040884.96</v>
      </c>
      <c r="AF242" s="0" t="n">
        <v>0.922</v>
      </c>
      <c r="AG242" s="0" t="n">
        <v>62938000</v>
      </c>
      <c r="AH242" s="0" t="n">
        <v>62938000</v>
      </c>
      <c r="AI242" s="0" t="n">
        <v>5324000</v>
      </c>
      <c r="AJ242" s="0" t="n">
        <v>68262000</v>
      </c>
      <c r="AK242" s="0" t="n">
        <v>62938000</v>
      </c>
      <c r="AL242" s="0" t="n">
        <v>62938000</v>
      </c>
      <c r="AM242" s="0" t="s">
        <v>194</v>
      </c>
      <c r="AN242" s="0" t="n">
        <v>2.594</v>
      </c>
      <c r="AO242" s="0" t="n">
        <v>2.676</v>
      </c>
      <c r="AP242" s="0" t="n">
        <v>5.654</v>
      </c>
      <c r="AQ242" s="0" t="n">
        <v>100</v>
      </c>
      <c r="AR242" s="0" t="n">
        <v>100</v>
      </c>
      <c r="AS242" s="1" t="n">
        <v>42847</v>
      </c>
      <c r="AT242" s="1" t="n">
        <v>47048</v>
      </c>
      <c r="AU242" s="1" t="n">
        <v>46295</v>
      </c>
      <c r="AV242" s="0" t="s">
        <v>714</v>
      </c>
      <c r="AW242" s="0" t="s">
        <v>196</v>
      </c>
      <c r="AX242" s="0" t="s">
        <v>187</v>
      </c>
      <c r="AY242" s="0" t="s">
        <v>715</v>
      </c>
      <c r="AZ242" s="0" t="s">
        <v>716</v>
      </c>
      <c r="BA242" s="0" t="s">
        <v>433</v>
      </c>
      <c r="BB242" s="0" t="s">
        <v>196</v>
      </c>
      <c r="BC242" s="0" t="s">
        <v>717</v>
      </c>
      <c r="BI242" s="0" t="n">
        <v>68262000</v>
      </c>
      <c r="BJ242" s="0" t="n">
        <v>6040884.96</v>
      </c>
      <c r="BK242" s="0" t="s">
        <v>200</v>
      </c>
      <c r="BL242" s="0" t="s">
        <v>201</v>
      </c>
      <c r="BN242" s="0" t="n">
        <v>6.9</v>
      </c>
      <c r="BO242" s="0" t="n">
        <v>2.31</v>
      </c>
      <c r="BP242" s="0" t="s">
        <v>202</v>
      </c>
      <c r="BQ242" s="0" t="s">
        <v>187</v>
      </c>
      <c r="BR242" s="0" t="s">
        <v>203</v>
      </c>
      <c r="BS242" s="0" t="s">
        <v>718</v>
      </c>
      <c r="BT242" s="0" t="s">
        <v>220</v>
      </c>
      <c r="BU242" s="0" t="s">
        <v>220</v>
      </c>
      <c r="BW242" s="0" t="s">
        <v>257</v>
      </c>
      <c r="BX242" s="0" t="s">
        <v>207</v>
      </c>
      <c r="BY242" s="0" t="n">
        <v>215</v>
      </c>
      <c r="BZ242" s="0" t="n">
        <v>215</v>
      </c>
      <c r="CB242" s="0" t="s">
        <v>208</v>
      </c>
      <c r="CC242" s="0" t="s">
        <v>209</v>
      </c>
      <c r="CD242" s="0" t="s">
        <v>209</v>
      </c>
      <c r="CE242" s="0" t="s">
        <v>211</v>
      </c>
      <c r="CF242" s="0" t="s">
        <v>211</v>
      </c>
      <c r="CG242" s="0" t="s">
        <v>211</v>
      </c>
      <c r="CH242" s="1" t="n">
        <v>46112</v>
      </c>
      <c r="CI242" s="0" t="n">
        <v>1.2</v>
      </c>
      <c r="CJ242" s="0" t="n">
        <v>2.03</v>
      </c>
      <c r="CK242" s="0" t="n">
        <v>2.13</v>
      </c>
      <c r="CL242" s="0" t="s">
        <v>212</v>
      </c>
      <c r="DA242" s="0" t="n">
        <v>0.75</v>
      </c>
      <c r="DC242" s="0" t="n">
        <v>0.85</v>
      </c>
      <c r="DD242" s="0" t="s">
        <v>212</v>
      </c>
      <c r="ED242" s="0" t="s">
        <v>212</v>
      </c>
      <c r="EE242" s="0" t="n">
        <v>1.05</v>
      </c>
      <c r="EI242" s="0" t="n">
        <v>1.73</v>
      </c>
      <c r="FQ242" s="0" t="n">
        <v>104041241</v>
      </c>
    </row>
    <row r="243" customFormat="false" ht="15" hidden="false" customHeight="false" outlineLevel="0" collapsed="false">
      <c r="B243" s="0" t="str">
        <f aca="false">C243&amp;"x"&amp;I243</f>
        <v>61003x100255</v>
      </c>
      <c r="C243" s="0" t="n">
        <f aca="false">IF(G243="SINGLE",H243,G243)</f>
        <v>61003</v>
      </c>
      <c r="D243" s="0" t="e">
        <f aca="false">_xlfn.XLOOKUP(I243,calculations!$t:$t,calculations!$s:$s)</f>
        <v>#VALUE!</v>
      </c>
      <c r="E243" s="0" t="str">
        <f aca="false">_xlfn.XLOOKUP(I243,Mapping!$T:$T,Mapping!$Q:$Q)</f>
        <v>YARR48</v>
      </c>
      <c r="F243" s="1" t="n">
        <v>46203</v>
      </c>
      <c r="G243" s="0" t="n">
        <v>61003</v>
      </c>
      <c r="H243" s="0" t="n">
        <v>61003</v>
      </c>
      <c r="I243" s="0" t="n">
        <v>100255</v>
      </c>
      <c r="J243" s="0" t="s">
        <v>711</v>
      </c>
      <c r="K243" s="0" t="s">
        <v>226</v>
      </c>
      <c r="L243" s="0" t="s">
        <v>226</v>
      </c>
      <c r="M243" s="0" t="s">
        <v>184</v>
      </c>
      <c r="N243" s="0" t="n">
        <v>40174000</v>
      </c>
      <c r="O243" s="0" t="n">
        <v>3555221.24</v>
      </c>
      <c r="P243" s="0" t="s">
        <v>185</v>
      </c>
      <c r="Q243" s="0" t="s">
        <v>227</v>
      </c>
      <c r="R243" s="0" t="s">
        <v>187</v>
      </c>
      <c r="S243" s="0" t="s">
        <v>712</v>
      </c>
      <c r="T243" s="0" t="s">
        <v>189</v>
      </c>
      <c r="U243" s="0" t="s">
        <v>432</v>
      </c>
      <c r="V243" s="0" t="s">
        <v>433</v>
      </c>
      <c r="W243" s="0" t="s">
        <v>296</v>
      </c>
      <c r="X243" s="0" t="s">
        <v>713</v>
      </c>
      <c r="Y243" s="0" t="n">
        <v>7.5</v>
      </c>
      <c r="Z243" s="0" t="s">
        <v>436</v>
      </c>
      <c r="AA243" s="0" t="n">
        <v>11.3</v>
      </c>
      <c r="AB243" s="0" t="s">
        <v>202</v>
      </c>
      <c r="AC243" s="0" t="n">
        <v>43572000</v>
      </c>
      <c r="AD243" s="0" t="n">
        <v>43572000</v>
      </c>
      <c r="AE243" s="0" t="n">
        <v>3855929.2</v>
      </c>
      <c r="AF243" s="0" t="n">
        <v>0.922</v>
      </c>
      <c r="AG243" s="0" t="n">
        <v>40174000</v>
      </c>
      <c r="AH243" s="0" t="n">
        <v>40174000</v>
      </c>
      <c r="AI243" s="0" t="n">
        <v>3398000</v>
      </c>
      <c r="AJ243" s="0" t="n">
        <v>43572000</v>
      </c>
      <c r="AK243" s="0" t="n">
        <v>40174000</v>
      </c>
      <c r="AL243" s="0" t="n">
        <v>40174000</v>
      </c>
      <c r="AM243" s="0" t="s">
        <v>194</v>
      </c>
      <c r="AN243" s="0" t="n">
        <v>5.546</v>
      </c>
      <c r="AO243" s="0" t="n">
        <v>6.116</v>
      </c>
      <c r="AP243" s="0" t="n">
        <v>5.943</v>
      </c>
      <c r="AQ243" s="0" t="n">
        <v>100</v>
      </c>
      <c r="AR243" s="0" t="n">
        <v>100</v>
      </c>
      <c r="AS243" s="1" t="n">
        <v>42847</v>
      </c>
      <c r="AT243" s="1" t="n">
        <v>47048</v>
      </c>
      <c r="AU243" s="1" t="n">
        <v>46295</v>
      </c>
      <c r="AV243" s="0" t="s">
        <v>714</v>
      </c>
      <c r="AW243" s="0" t="s">
        <v>196</v>
      </c>
      <c r="AX243" s="0" t="s">
        <v>187</v>
      </c>
      <c r="AY243" s="0" t="s">
        <v>715</v>
      </c>
      <c r="AZ243" s="0" t="s">
        <v>716</v>
      </c>
      <c r="BA243" s="0" t="s">
        <v>433</v>
      </c>
      <c r="BB243" s="0" t="s">
        <v>196</v>
      </c>
      <c r="BC243" s="0" t="s">
        <v>717</v>
      </c>
      <c r="BI243" s="0" t="n">
        <v>43572000</v>
      </c>
      <c r="BJ243" s="0" t="n">
        <v>3855929.2</v>
      </c>
      <c r="BK243" s="0" t="s">
        <v>200</v>
      </c>
      <c r="BL243" s="0" t="s">
        <v>201</v>
      </c>
      <c r="BN243" s="0" t="n">
        <v>6.9</v>
      </c>
      <c r="BO243" s="0" t="n">
        <v>2.31</v>
      </c>
      <c r="BP243" s="0" t="s">
        <v>202</v>
      </c>
      <c r="BQ243" s="0" t="s">
        <v>187</v>
      </c>
      <c r="BR243" s="0" t="s">
        <v>203</v>
      </c>
      <c r="BS243" s="0" t="s">
        <v>718</v>
      </c>
      <c r="BT243" s="0" t="s">
        <v>220</v>
      </c>
      <c r="BU243" s="0" t="s">
        <v>269</v>
      </c>
      <c r="BW243" s="0" t="s">
        <v>206</v>
      </c>
      <c r="BX243" s="0" t="s">
        <v>207</v>
      </c>
      <c r="BY243" s="0" t="n">
        <v>215</v>
      </c>
      <c r="BZ243" s="0" t="n">
        <v>215</v>
      </c>
      <c r="CB243" s="0" t="s">
        <v>208</v>
      </c>
      <c r="CC243" s="0" t="s">
        <v>209</v>
      </c>
      <c r="CD243" s="0" t="s">
        <v>209</v>
      </c>
      <c r="CE243" s="0" t="s">
        <v>211</v>
      </c>
      <c r="CF243" s="0" t="s">
        <v>211</v>
      </c>
      <c r="CG243" s="0" t="s">
        <v>211</v>
      </c>
      <c r="CH243" s="1" t="n">
        <v>46112</v>
      </c>
      <c r="CI243" s="0" t="n">
        <v>1.2</v>
      </c>
      <c r="CJ243" s="0" t="n">
        <v>3.17</v>
      </c>
      <c r="CK243" s="0" t="n">
        <v>3.33</v>
      </c>
      <c r="CL243" s="0" t="s">
        <v>212</v>
      </c>
      <c r="DA243" s="0" t="n">
        <v>0.46</v>
      </c>
      <c r="DC243" s="0" t="n">
        <v>0.85</v>
      </c>
      <c r="DD243" s="0" t="s">
        <v>212</v>
      </c>
      <c r="ED243" s="0" t="s">
        <v>212</v>
      </c>
      <c r="EE243" s="0" t="n">
        <v>1.05</v>
      </c>
      <c r="EI243" s="0" t="n">
        <v>1.68</v>
      </c>
      <c r="FQ243" s="0" t="n">
        <v>88844634</v>
      </c>
    </row>
    <row r="244" customFormat="false" ht="15" hidden="false" customHeight="false" outlineLevel="0" collapsed="false">
      <c r="B244" s="0" t="str">
        <f aca="false">C244&amp;"x"&amp;I244</f>
        <v>61002x100255</v>
      </c>
      <c r="C244" s="0" t="n">
        <f aca="false">IF(G244="SINGLE",H244,G244)</f>
        <v>61002</v>
      </c>
      <c r="D244" s="0" t="e">
        <f aca="false">_xlfn.XLOOKUP(I244,calculations!$t:$t,calculations!$s:$s)</f>
        <v>#VALUE!</v>
      </c>
      <c r="E244" s="0" t="str">
        <f aca="false">_xlfn.XLOOKUP(I244,Mapping!$T:$T,Mapping!$Q:$Q)</f>
        <v>YARR48</v>
      </c>
      <c r="F244" s="1" t="n">
        <v>46203</v>
      </c>
      <c r="G244" s="0" t="n">
        <v>61002</v>
      </c>
      <c r="H244" s="0" t="n">
        <v>61002</v>
      </c>
      <c r="I244" s="0" t="n">
        <v>100255</v>
      </c>
      <c r="J244" s="0" t="s">
        <v>711</v>
      </c>
      <c r="K244" s="0" t="s">
        <v>333</v>
      </c>
      <c r="L244" s="0" t="s">
        <v>333</v>
      </c>
      <c r="M244" s="0" t="s">
        <v>184</v>
      </c>
      <c r="N244" s="0" t="n">
        <v>17708000</v>
      </c>
      <c r="O244" s="0" t="n">
        <v>1567079.65</v>
      </c>
      <c r="P244" s="0" t="s">
        <v>185</v>
      </c>
      <c r="Q244" s="0" t="s">
        <v>227</v>
      </c>
      <c r="R244" s="0" t="s">
        <v>187</v>
      </c>
      <c r="S244" s="0" t="s">
        <v>712</v>
      </c>
      <c r="T244" s="0" t="s">
        <v>189</v>
      </c>
      <c r="U244" s="0" t="s">
        <v>432</v>
      </c>
      <c r="V244" s="0" t="s">
        <v>433</v>
      </c>
      <c r="W244" s="0" t="s">
        <v>296</v>
      </c>
      <c r="X244" s="0" t="s">
        <v>713</v>
      </c>
      <c r="Y244" s="0" t="n">
        <v>7.5</v>
      </c>
      <c r="Z244" s="0" t="s">
        <v>436</v>
      </c>
      <c r="AA244" s="0" t="n">
        <v>11.3</v>
      </c>
      <c r="AB244" s="0" t="s">
        <v>202</v>
      </c>
      <c r="AC244" s="0" t="n">
        <v>19206000</v>
      </c>
      <c r="AD244" s="0" t="n">
        <v>19206000</v>
      </c>
      <c r="AE244" s="0" t="n">
        <v>1699646.02</v>
      </c>
      <c r="AF244" s="0" t="n">
        <v>0.922</v>
      </c>
      <c r="AG244" s="0" t="n">
        <v>17708000</v>
      </c>
      <c r="AH244" s="0" t="n">
        <v>17708000</v>
      </c>
      <c r="AI244" s="0" t="n">
        <v>1498000</v>
      </c>
      <c r="AJ244" s="0" t="n">
        <v>19206000</v>
      </c>
      <c r="AK244" s="0" t="n">
        <v>17708000</v>
      </c>
      <c r="AL244" s="0" t="n">
        <v>17708000</v>
      </c>
      <c r="AM244" s="0" t="s">
        <v>194</v>
      </c>
      <c r="AN244" s="0" t="n">
        <v>2.929</v>
      </c>
      <c r="AO244" s="0" t="n">
        <v>5.522</v>
      </c>
      <c r="AP244" s="0" t="n">
        <v>4.025</v>
      </c>
      <c r="AQ244" s="0" t="n">
        <v>100</v>
      </c>
      <c r="AR244" s="0" t="n">
        <v>100</v>
      </c>
      <c r="AS244" s="1" t="n">
        <v>42847</v>
      </c>
      <c r="AT244" s="1" t="n">
        <v>47048</v>
      </c>
      <c r="AU244" s="1" t="n">
        <v>46295</v>
      </c>
      <c r="AV244" s="0" t="s">
        <v>714</v>
      </c>
      <c r="AW244" s="0" t="s">
        <v>196</v>
      </c>
      <c r="AX244" s="0" t="s">
        <v>187</v>
      </c>
      <c r="AY244" s="0" t="s">
        <v>715</v>
      </c>
      <c r="AZ244" s="0" t="s">
        <v>716</v>
      </c>
      <c r="BA244" s="0" t="s">
        <v>433</v>
      </c>
      <c r="BB244" s="0" t="s">
        <v>196</v>
      </c>
      <c r="BC244" s="0" t="s">
        <v>717</v>
      </c>
      <c r="BI244" s="0" t="n">
        <v>19206000</v>
      </c>
      <c r="BJ244" s="0" t="n">
        <v>1699646.02</v>
      </c>
      <c r="BK244" s="0" t="s">
        <v>200</v>
      </c>
      <c r="BL244" s="0" t="s">
        <v>201</v>
      </c>
      <c r="BN244" s="0" t="n">
        <v>6.9</v>
      </c>
      <c r="BO244" s="0" t="n">
        <v>2.31</v>
      </c>
      <c r="BP244" s="0" t="s">
        <v>202</v>
      </c>
      <c r="BQ244" s="0" t="s">
        <v>187</v>
      </c>
      <c r="BR244" s="0" t="s">
        <v>203</v>
      </c>
      <c r="BS244" s="0" t="s">
        <v>718</v>
      </c>
      <c r="BT244" s="0" t="s">
        <v>220</v>
      </c>
      <c r="BU244" s="0" t="s">
        <v>220</v>
      </c>
      <c r="BW244" s="0" t="s">
        <v>257</v>
      </c>
      <c r="BX244" s="0" t="s">
        <v>207</v>
      </c>
      <c r="BY244" s="0" t="n">
        <v>215</v>
      </c>
      <c r="BZ244" s="0" t="n">
        <v>215</v>
      </c>
      <c r="CB244" s="0" t="s">
        <v>208</v>
      </c>
      <c r="CC244" s="0" t="s">
        <v>209</v>
      </c>
      <c r="CD244" s="0" t="s">
        <v>209</v>
      </c>
      <c r="CE244" s="0" t="s">
        <v>211</v>
      </c>
      <c r="CF244" s="0" t="s">
        <v>211</v>
      </c>
      <c r="CG244" s="0" t="s">
        <v>211</v>
      </c>
      <c r="CH244" s="1" t="n">
        <v>46112</v>
      </c>
      <c r="CI244" s="0" t="n">
        <v>1.2</v>
      </c>
      <c r="CJ244" s="0" t="n">
        <v>3.32</v>
      </c>
      <c r="CK244" s="0" t="n">
        <v>3.49</v>
      </c>
      <c r="CL244" s="0" t="s">
        <v>212</v>
      </c>
      <c r="DA244" s="0" t="n">
        <v>0.61</v>
      </c>
      <c r="DC244" s="0" t="n">
        <v>0.85</v>
      </c>
      <c r="DD244" s="0" t="s">
        <v>212</v>
      </c>
      <c r="ED244" s="0" t="s">
        <v>213</v>
      </c>
      <c r="EE244" s="0" t="n">
        <v>1.05</v>
      </c>
      <c r="EI244" s="0" t="n">
        <v>1.18</v>
      </c>
      <c r="FQ244" s="0" t="n">
        <v>102142639</v>
      </c>
    </row>
    <row r="245" customFormat="false" ht="15" hidden="false" customHeight="false" outlineLevel="0" collapsed="false">
      <c r="B245" s="0" t="str">
        <f aca="false">C245&amp;"x"&amp;I245</f>
        <v>61008x100255</v>
      </c>
      <c r="C245" s="0" t="n">
        <f aca="false">IF(G245="SINGLE",H245,G245)</f>
        <v>61008</v>
      </c>
      <c r="D245" s="0" t="e">
        <f aca="false">_xlfn.XLOOKUP(I245,calculations!$t:$t,calculations!$s:$s)</f>
        <v>#VALUE!</v>
      </c>
      <c r="E245" s="0" t="str">
        <f aca="false">_xlfn.XLOOKUP(I245,Mapping!$T:$T,Mapping!$Q:$Q)</f>
        <v>YARR48</v>
      </c>
      <c r="F245" s="1" t="n">
        <v>46203</v>
      </c>
      <c r="G245" s="0" t="n">
        <v>61008</v>
      </c>
      <c r="H245" s="0" t="n">
        <v>61008</v>
      </c>
      <c r="I245" s="0" t="n">
        <v>100255</v>
      </c>
      <c r="J245" s="0" t="s">
        <v>711</v>
      </c>
      <c r="K245" s="0" t="s">
        <v>277</v>
      </c>
      <c r="L245" s="0" t="s">
        <v>277</v>
      </c>
      <c r="M245" s="0" t="s">
        <v>184</v>
      </c>
      <c r="N245" s="0" t="n">
        <v>42972000</v>
      </c>
      <c r="O245" s="0" t="n">
        <v>3802831.86</v>
      </c>
      <c r="P245" s="0" t="s">
        <v>185</v>
      </c>
      <c r="Q245" s="0" t="s">
        <v>227</v>
      </c>
      <c r="R245" s="0" t="s">
        <v>187</v>
      </c>
      <c r="S245" s="0" t="s">
        <v>712</v>
      </c>
      <c r="T245" s="0" t="s">
        <v>189</v>
      </c>
      <c r="U245" s="0" t="s">
        <v>432</v>
      </c>
      <c r="V245" s="0" t="s">
        <v>433</v>
      </c>
      <c r="W245" s="0" t="s">
        <v>296</v>
      </c>
      <c r="X245" s="0" t="s">
        <v>713</v>
      </c>
      <c r="Y245" s="0" t="n">
        <v>7.5</v>
      </c>
      <c r="Z245" s="0" t="s">
        <v>436</v>
      </c>
      <c r="AA245" s="0" t="n">
        <v>11.3</v>
      </c>
      <c r="AB245" s="0" t="s">
        <v>202</v>
      </c>
      <c r="AC245" s="0" t="n">
        <v>46607000</v>
      </c>
      <c r="AD245" s="0" t="n">
        <v>46607000</v>
      </c>
      <c r="AE245" s="0" t="n">
        <v>4124513.27</v>
      </c>
      <c r="AF245" s="0" t="n">
        <v>0.922</v>
      </c>
      <c r="AG245" s="0" t="n">
        <v>42972000</v>
      </c>
      <c r="AH245" s="0" t="n">
        <v>42972000</v>
      </c>
      <c r="AI245" s="0" t="n">
        <v>3635000</v>
      </c>
      <c r="AJ245" s="0" t="n">
        <v>46607000</v>
      </c>
      <c r="AK245" s="0" t="n">
        <v>42972000</v>
      </c>
      <c r="AL245" s="0" t="n">
        <v>42972000</v>
      </c>
      <c r="AM245" s="0" t="s">
        <v>194</v>
      </c>
      <c r="AN245" s="0" t="n">
        <v>6.409</v>
      </c>
      <c r="AO245" s="0" t="n">
        <v>3.144</v>
      </c>
      <c r="AP245" s="0" t="n">
        <v>4.295</v>
      </c>
      <c r="AQ245" s="0" t="n">
        <v>100</v>
      </c>
      <c r="AR245" s="0" t="n">
        <v>100</v>
      </c>
      <c r="AS245" s="1" t="n">
        <v>42847</v>
      </c>
      <c r="AT245" s="1" t="n">
        <v>47048</v>
      </c>
      <c r="AU245" s="1" t="n">
        <v>46295</v>
      </c>
      <c r="AV245" s="0" t="s">
        <v>714</v>
      </c>
      <c r="AW245" s="0" t="s">
        <v>196</v>
      </c>
      <c r="AX245" s="0" t="s">
        <v>187</v>
      </c>
      <c r="AY245" s="0" t="s">
        <v>715</v>
      </c>
      <c r="AZ245" s="0" t="s">
        <v>716</v>
      </c>
      <c r="BA245" s="0" t="s">
        <v>433</v>
      </c>
      <c r="BB245" s="0" t="s">
        <v>196</v>
      </c>
      <c r="BC245" s="0" t="s">
        <v>717</v>
      </c>
      <c r="BI245" s="0" t="n">
        <v>46607000</v>
      </c>
      <c r="BJ245" s="0" t="n">
        <v>4124513.27</v>
      </c>
      <c r="BK245" s="0" t="s">
        <v>200</v>
      </c>
      <c r="BL245" s="0" t="s">
        <v>201</v>
      </c>
      <c r="BN245" s="0" t="n">
        <v>6.9</v>
      </c>
      <c r="BO245" s="0" t="n">
        <v>2.31</v>
      </c>
      <c r="BP245" s="0" t="s">
        <v>202</v>
      </c>
      <c r="BQ245" s="0" t="s">
        <v>187</v>
      </c>
      <c r="BR245" s="0" t="s">
        <v>203</v>
      </c>
      <c r="BS245" s="0" t="s">
        <v>718</v>
      </c>
      <c r="BT245" s="0" t="s">
        <v>220</v>
      </c>
      <c r="BU245" s="0" t="s">
        <v>269</v>
      </c>
      <c r="BW245" s="0" t="s">
        <v>206</v>
      </c>
      <c r="BX245" s="0" t="s">
        <v>207</v>
      </c>
      <c r="BY245" s="0" t="n">
        <v>215</v>
      </c>
      <c r="BZ245" s="0" t="n">
        <v>215</v>
      </c>
      <c r="CB245" s="0" t="s">
        <v>208</v>
      </c>
      <c r="CC245" s="0" t="s">
        <v>209</v>
      </c>
      <c r="CD245" s="0" t="s">
        <v>209</v>
      </c>
      <c r="CE245" s="0" t="s">
        <v>211</v>
      </c>
      <c r="CF245" s="0" t="s">
        <v>211</v>
      </c>
      <c r="CG245" s="0" t="s">
        <v>211</v>
      </c>
      <c r="CH245" s="1" t="n">
        <v>46112</v>
      </c>
      <c r="CI245" s="0" t="n">
        <v>1.2</v>
      </c>
      <c r="CJ245" s="0" t="n">
        <v>3.19</v>
      </c>
      <c r="CK245" s="0" t="n">
        <v>3.35</v>
      </c>
      <c r="CL245" s="0" t="s">
        <v>212</v>
      </c>
      <c r="DA245" s="0" t="n">
        <v>0.84</v>
      </c>
      <c r="DC245" s="0" t="n">
        <v>0.85</v>
      </c>
      <c r="DD245" s="0" t="s">
        <v>213</v>
      </c>
      <c r="ED245" s="0" t="s">
        <v>212</v>
      </c>
      <c r="EE245" s="0" t="n">
        <v>1.05</v>
      </c>
      <c r="EI245" s="0" t="n">
        <v>1.57</v>
      </c>
      <c r="FQ245" s="0" t="n">
        <v>97255721</v>
      </c>
    </row>
    <row r="246" customFormat="false" ht="15" hidden="false" customHeight="false" outlineLevel="0" collapsed="false">
      <c r="B246" s="0" t="str">
        <f aca="false">C246&amp;"x"&amp;I246</f>
        <v>61016x100255</v>
      </c>
      <c r="C246" s="0" t="n">
        <f aca="false">IF(G246="SINGLE",H246,G246)</f>
        <v>61016</v>
      </c>
      <c r="D246" s="0" t="e">
        <f aca="false">_xlfn.XLOOKUP(I246,calculations!$t:$t,calculations!$s:$s)</f>
        <v>#VALUE!</v>
      </c>
      <c r="E246" s="0" t="str">
        <f aca="false">_xlfn.XLOOKUP(I246,Mapping!$T:$T,Mapping!$Q:$Q)</f>
        <v>YARR48</v>
      </c>
      <c r="F246" s="1" t="n">
        <v>46203</v>
      </c>
      <c r="G246" s="0" t="n">
        <v>61016</v>
      </c>
      <c r="H246" s="0" t="n">
        <v>61016</v>
      </c>
      <c r="I246" s="0" t="n">
        <v>100255</v>
      </c>
      <c r="J246" s="0" t="s">
        <v>711</v>
      </c>
      <c r="K246" s="0" t="s">
        <v>343</v>
      </c>
      <c r="L246" s="0" t="s">
        <v>343</v>
      </c>
      <c r="M246" s="0" t="s">
        <v>184</v>
      </c>
      <c r="N246" s="0" t="n">
        <v>17530000</v>
      </c>
      <c r="O246" s="0" t="n">
        <v>1551327.43</v>
      </c>
      <c r="P246" s="0" t="s">
        <v>185</v>
      </c>
      <c r="Q246" s="0" t="s">
        <v>227</v>
      </c>
      <c r="R246" s="0" t="s">
        <v>187</v>
      </c>
      <c r="S246" s="0" t="s">
        <v>712</v>
      </c>
      <c r="T246" s="0" t="s">
        <v>189</v>
      </c>
      <c r="U246" s="0" t="s">
        <v>432</v>
      </c>
      <c r="V246" s="0" t="s">
        <v>433</v>
      </c>
      <c r="W246" s="0" t="s">
        <v>296</v>
      </c>
      <c r="X246" s="0" t="s">
        <v>713</v>
      </c>
      <c r="Y246" s="0" t="n">
        <v>7.5</v>
      </c>
      <c r="Z246" s="0" t="s">
        <v>436</v>
      </c>
      <c r="AA246" s="0" t="n">
        <v>11.3</v>
      </c>
      <c r="AB246" s="0" t="s">
        <v>202</v>
      </c>
      <c r="AC246" s="0" t="n">
        <v>19013000</v>
      </c>
      <c r="AD246" s="0" t="n">
        <v>19013000</v>
      </c>
      <c r="AE246" s="0" t="n">
        <v>1682566.37</v>
      </c>
      <c r="AF246" s="0" t="n">
        <v>0.922</v>
      </c>
      <c r="AG246" s="0" t="n">
        <v>17530000</v>
      </c>
      <c r="AH246" s="0" t="n">
        <v>17530000</v>
      </c>
      <c r="AI246" s="0" t="n">
        <v>1483000</v>
      </c>
      <c r="AJ246" s="0" t="n">
        <v>19013000</v>
      </c>
      <c r="AK246" s="0" t="n">
        <v>17530000</v>
      </c>
      <c r="AL246" s="0" t="n">
        <v>17530000</v>
      </c>
      <c r="AM246" s="0" t="s">
        <v>194</v>
      </c>
      <c r="AN246" s="0" t="n">
        <v>2.635</v>
      </c>
      <c r="AO246" s="0" t="n">
        <v>6.437</v>
      </c>
      <c r="AP246" s="0" t="n">
        <v>3.488</v>
      </c>
      <c r="AQ246" s="0" t="n">
        <v>100</v>
      </c>
      <c r="AR246" s="0" t="n">
        <v>100</v>
      </c>
      <c r="AS246" s="1" t="n">
        <v>42847</v>
      </c>
      <c r="AT246" s="1" t="n">
        <v>47048</v>
      </c>
      <c r="AU246" s="1" t="n">
        <v>46295</v>
      </c>
      <c r="AV246" s="0" t="s">
        <v>714</v>
      </c>
      <c r="AW246" s="0" t="s">
        <v>196</v>
      </c>
      <c r="AX246" s="0" t="s">
        <v>187</v>
      </c>
      <c r="AY246" s="0" t="s">
        <v>715</v>
      </c>
      <c r="AZ246" s="0" t="s">
        <v>716</v>
      </c>
      <c r="BA246" s="0" t="s">
        <v>433</v>
      </c>
      <c r="BB246" s="0" t="s">
        <v>196</v>
      </c>
      <c r="BC246" s="0" t="s">
        <v>717</v>
      </c>
      <c r="BI246" s="0" t="n">
        <v>19013000</v>
      </c>
      <c r="BJ246" s="0" t="n">
        <v>1682566.37</v>
      </c>
      <c r="BK246" s="0" t="s">
        <v>200</v>
      </c>
      <c r="BL246" s="0" t="s">
        <v>201</v>
      </c>
      <c r="BN246" s="0" t="n">
        <v>6.9</v>
      </c>
      <c r="BO246" s="0" t="n">
        <v>2.31</v>
      </c>
      <c r="BP246" s="0" t="s">
        <v>202</v>
      </c>
      <c r="BQ246" s="0" t="s">
        <v>187</v>
      </c>
      <c r="BR246" s="0" t="s">
        <v>203</v>
      </c>
      <c r="BS246" s="0" t="s">
        <v>718</v>
      </c>
      <c r="BT246" s="0" t="s">
        <v>220</v>
      </c>
      <c r="BU246" s="0" t="s">
        <v>269</v>
      </c>
      <c r="BW246" s="0" t="s">
        <v>257</v>
      </c>
      <c r="BX246" s="0" t="s">
        <v>217</v>
      </c>
      <c r="BY246" s="0" t="n">
        <v>215</v>
      </c>
      <c r="BZ246" s="0" t="n">
        <v>215</v>
      </c>
      <c r="CB246" s="0" t="s">
        <v>208</v>
      </c>
      <c r="CC246" s="0" t="s">
        <v>209</v>
      </c>
      <c r="CD246" s="0" t="s">
        <v>209</v>
      </c>
      <c r="CE246" s="0" t="s">
        <v>211</v>
      </c>
      <c r="CF246" s="0" t="s">
        <v>211</v>
      </c>
      <c r="CG246" s="0" t="s">
        <v>211</v>
      </c>
      <c r="CH246" s="1" t="n">
        <v>46112</v>
      </c>
      <c r="CI246" s="0" t="n">
        <v>1.2</v>
      </c>
      <c r="CJ246" s="0" t="n">
        <v>2.67</v>
      </c>
      <c r="CK246" s="0" t="n">
        <v>2.8</v>
      </c>
      <c r="CL246" s="0" t="s">
        <v>212</v>
      </c>
      <c r="DA246" s="0" t="n">
        <v>0.47</v>
      </c>
      <c r="DC246" s="0" t="n">
        <v>0.85</v>
      </c>
      <c r="DD246" s="0" t="s">
        <v>212</v>
      </c>
      <c r="ED246" s="0" t="s">
        <v>212</v>
      </c>
      <c r="EE246" s="0" t="n">
        <v>1.05</v>
      </c>
      <c r="EI246" s="0" t="n">
        <v>1.89</v>
      </c>
      <c r="FQ246" s="0" t="n">
        <v>108359862</v>
      </c>
    </row>
    <row r="247" customFormat="false" ht="15" hidden="false" customHeight="false" outlineLevel="0" collapsed="false">
      <c r="B247" s="0" t="str">
        <f aca="false">C247&amp;"x"&amp;I247</f>
        <v>61010x100255</v>
      </c>
      <c r="C247" s="0" t="n">
        <f aca="false">IF(G247="SINGLE",H247,G247)</f>
        <v>61010</v>
      </c>
      <c r="D247" s="0" t="e">
        <f aca="false">_xlfn.XLOOKUP(I247,calculations!$t:$t,calculations!$s:$s)</f>
        <v>#VALUE!</v>
      </c>
      <c r="E247" s="0" t="str">
        <f aca="false">_xlfn.XLOOKUP(I247,Mapping!$T:$T,Mapping!$Q:$Q)</f>
        <v>YARR48</v>
      </c>
      <c r="F247" s="1" t="n">
        <v>46203</v>
      </c>
      <c r="G247" s="0" t="n">
        <v>61010</v>
      </c>
      <c r="H247" s="0" t="n">
        <v>61010</v>
      </c>
      <c r="I247" s="0" t="n">
        <v>100255</v>
      </c>
      <c r="J247" s="0" t="s">
        <v>711</v>
      </c>
      <c r="K247" s="0" t="s">
        <v>461</v>
      </c>
      <c r="L247" s="0" t="s">
        <v>461</v>
      </c>
      <c r="M247" s="0" t="s">
        <v>184</v>
      </c>
      <c r="N247" s="0" t="n">
        <v>59166000</v>
      </c>
      <c r="O247" s="0" t="n">
        <v>5235929.2</v>
      </c>
      <c r="P247" s="0" t="s">
        <v>185</v>
      </c>
      <c r="Q247" s="0" t="s">
        <v>227</v>
      </c>
      <c r="R247" s="0" t="s">
        <v>187</v>
      </c>
      <c r="S247" s="0" t="s">
        <v>712</v>
      </c>
      <c r="T247" s="0" t="s">
        <v>189</v>
      </c>
      <c r="U247" s="0" t="s">
        <v>432</v>
      </c>
      <c r="V247" s="0" t="s">
        <v>433</v>
      </c>
      <c r="W247" s="0" t="s">
        <v>296</v>
      </c>
      <c r="X247" s="0" t="s">
        <v>713</v>
      </c>
      <c r="Y247" s="0" t="n">
        <v>7.5</v>
      </c>
      <c r="Z247" s="0" t="s">
        <v>436</v>
      </c>
      <c r="AA247" s="0" t="n">
        <v>11.3</v>
      </c>
      <c r="AB247" s="0" t="s">
        <v>202</v>
      </c>
      <c r="AC247" s="0" t="n">
        <v>64171000</v>
      </c>
      <c r="AD247" s="0" t="n">
        <v>64171000</v>
      </c>
      <c r="AE247" s="0" t="n">
        <v>5678849.56</v>
      </c>
      <c r="AF247" s="0" t="n">
        <v>0.922</v>
      </c>
      <c r="AG247" s="0" t="n">
        <v>59166000</v>
      </c>
      <c r="AH247" s="0" t="n">
        <v>59166000</v>
      </c>
      <c r="AI247" s="0" t="n">
        <v>5005000</v>
      </c>
      <c r="AJ247" s="0" t="n">
        <v>64171000</v>
      </c>
      <c r="AK247" s="0" t="n">
        <v>59166000</v>
      </c>
      <c r="AL247" s="0" t="n">
        <v>59166000</v>
      </c>
      <c r="AM247" s="0" t="s">
        <v>194</v>
      </c>
      <c r="AN247" s="0" t="n">
        <v>5.894</v>
      </c>
      <c r="AO247" s="0" t="n">
        <v>5.298</v>
      </c>
      <c r="AP247" s="0" t="n">
        <v>3.828</v>
      </c>
      <c r="AQ247" s="0" t="n">
        <v>100</v>
      </c>
      <c r="AR247" s="0" t="n">
        <v>100</v>
      </c>
      <c r="AS247" s="1" t="n">
        <v>42847</v>
      </c>
      <c r="AT247" s="1" t="n">
        <v>47048</v>
      </c>
      <c r="AU247" s="1" t="n">
        <v>46295</v>
      </c>
      <c r="AV247" s="0" t="s">
        <v>714</v>
      </c>
      <c r="AW247" s="0" t="s">
        <v>196</v>
      </c>
      <c r="AX247" s="0" t="s">
        <v>187</v>
      </c>
      <c r="AY247" s="0" t="s">
        <v>715</v>
      </c>
      <c r="AZ247" s="0" t="s">
        <v>716</v>
      </c>
      <c r="BA247" s="0" t="s">
        <v>433</v>
      </c>
      <c r="BB247" s="0" t="s">
        <v>196</v>
      </c>
      <c r="BC247" s="0" t="s">
        <v>717</v>
      </c>
      <c r="BI247" s="0" t="n">
        <v>64171000</v>
      </c>
      <c r="BJ247" s="0" t="n">
        <v>5678849.56</v>
      </c>
      <c r="BK247" s="0" t="s">
        <v>200</v>
      </c>
      <c r="BL247" s="0" t="s">
        <v>201</v>
      </c>
      <c r="BN247" s="0" t="n">
        <v>6.9</v>
      </c>
      <c r="BO247" s="0" t="n">
        <v>2.31</v>
      </c>
      <c r="BP247" s="0" t="s">
        <v>202</v>
      </c>
      <c r="BQ247" s="0" t="s">
        <v>187</v>
      </c>
      <c r="BR247" s="0" t="s">
        <v>203</v>
      </c>
      <c r="BS247" s="0" t="s">
        <v>718</v>
      </c>
      <c r="BT247" s="0" t="s">
        <v>220</v>
      </c>
      <c r="BU247" s="0" t="s">
        <v>220</v>
      </c>
      <c r="BW247" s="0" t="s">
        <v>206</v>
      </c>
      <c r="BX247" s="0" t="s">
        <v>207</v>
      </c>
      <c r="BY247" s="0" t="n">
        <v>215</v>
      </c>
      <c r="BZ247" s="0" t="n">
        <v>215</v>
      </c>
      <c r="CB247" s="0" t="s">
        <v>208</v>
      </c>
      <c r="CC247" s="0" t="s">
        <v>209</v>
      </c>
      <c r="CD247" s="0" t="s">
        <v>209</v>
      </c>
      <c r="CE247" s="0" t="s">
        <v>211</v>
      </c>
      <c r="CF247" s="0" t="s">
        <v>211</v>
      </c>
      <c r="CG247" s="0" t="s">
        <v>211</v>
      </c>
      <c r="CH247" s="1" t="n">
        <v>46112</v>
      </c>
      <c r="CI247" s="0" t="n">
        <v>1.2</v>
      </c>
      <c r="CJ247" s="0" t="n">
        <v>1.36</v>
      </c>
      <c r="CK247" s="0" t="n">
        <v>1.43</v>
      </c>
      <c r="CL247" s="0" t="s">
        <v>212</v>
      </c>
      <c r="DA247" s="0" t="n">
        <v>0.82</v>
      </c>
      <c r="DC247" s="0" t="n">
        <v>0.85</v>
      </c>
      <c r="DD247" s="0" t="s">
        <v>213</v>
      </c>
      <c r="ED247" s="0" t="s">
        <v>212</v>
      </c>
      <c r="EE247" s="0" t="n">
        <v>1.05</v>
      </c>
      <c r="EI247" s="0" t="n">
        <v>1.28</v>
      </c>
      <c r="FQ247" s="0" t="n">
        <v>106816334</v>
      </c>
    </row>
    <row r="248" customFormat="false" ht="15" hidden="false" customHeight="false" outlineLevel="0" collapsed="false">
      <c r="B248" s="0" t="str">
        <f aca="false">C248&amp;"x"&amp;I248</f>
        <v>61019x999001</v>
      </c>
      <c r="C248" s="0" t="n">
        <f aca="false">IF(G248="SINGLE",H248,G248)</f>
        <v>61019</v>
      </c>
      <c r="D248" s="0" t="e">
        <f aca="false">_xlfn.XLOOKUP(I248,calculations!$t:$t,calculations!$s:$s)</f>
        <v>#VALUE!</v>
      </c>
      <c r="E248" s="0" t="e">
        <f aca="false">_xlfn.XLOOKUP(I248,Mapping!$T:$T,Mapping!$Q:$Q)</f>
        <v>#N/A</v>
      </c>
      <c r="F248" s="1" t="n">
        <v>46203</v>
      </c>
      <c r="G248" s="0" t="n">
        <v>61019</v>
      </c>
      <c r="H248" s="0" t="n">
        <v>61019</v>
      </c>
      <c r="I248" s="0" t="n">
        <v>999001</v>
      </c>
      <c r="J248" s="0" t="s">
        <v>719</v>
      </c>
      <c r="K248" s="0" t="s">
        <v>223</v>
      </c>
      <c r="L248" s="0" t="s">
        <v>223</v>
      </c>
      <c r="M248" s="0" t="s">
        <v>184</v>
      </c>
      <c r="N248" s="0" t="n">
        <v>25000000</v>
      </c>
      <c r="O248" s="0" t="n">
        <v>25000000</v>
      </c>
      <c r="P248" s="0" t="s">
        <v>185</v>
      </c>
      <c r="Q248" s="0" t="s">
        <v>227</v>
      </c>
      <c r="R248" s="0" t="s">
        <v>187</v>
      </c>
      <c r="S248" s="0" t="s">
        <v>720</v>
      </c>
      <c r="T248" s="0" t="s">
        <v>189</v>
      </c>
      <c r="U248" s="0" t="s">
        <v>190</v>
      </c>
      <c r="V248" s="0" t="s">
        <v>191</v>
      </c>
      <c r="W248" s="0" t="s">
        <v>246</v>
      </c>
      <c r="X248" s="0" t="s">
        <v>247</v>
      </c>
      <c r="Y248" s="0" t="n">
        <v>12.6</v>
      </c>
      <c r="Z248" s="0" t="s">
        <v>185</v>
      </c>
      <c r="AA248" s="0" t="n">
        <v>1</v>
      </c>
      <c r="AB248" s="0" t="s">
        <v>187</v>
      </c>
      <c r="AC248" s="0" t="n">
        <v>25000000</v>
      </c>
      <c r="AD248" s="0" t="n">
        <v>25000000</v>
      </c>
      <c r="AE248" s="0" t="n">
        <v>25000000</v>
      </c>
      <c r="AF248" s="0" t="n">
        <v>1</v>
      </c>
      <c r="AG248" s="0" t="n">
        <v>25000000</v>
      </c>
      <c r="AH248" s="0" t="n">
        <v>25000000</v>
      </c>
      <c r="AI248" s="0" t="n">
        <v>0</v>
      </c>
      <c r="AJ248" s="0" t="n">
        <v>25000000</v>
      </c>
      <c r="AK248" s="0" t="n">
        <v>25000000</v>
      </c>
      <c r="AL248" s="0" t="n">
        <v>25000000</v>
      </c>
      <c r="AN248" s="0" t="n">
        <v>6.445</v>
      </c>
      <c r="AO248" s="0" t="n">
        <v>3.268</v>
      </c>
      <c r="AP248" s="0" t="n">
        <v>4.629</v>
      </c>
      <c r="AQ248" s="0" t="n">
        <v>100</v>
      </c>
      <c r="AR248" s="0" t="n">
        <v>100</v>
      </c>
      <c r="AS248" s="1" t="n">
        <v>43414</v>
      </c>
      <c r="AT248" s="1" t="n">
        <v>51631</v>
      </c>
      <c r="AU248" s="1" t="n">
        <v>46295</v>
      </c>
      <c r="AV248" s="0" t="s">
        <v>248</v>
      </c>
      <c r="AW248" s="0" t="s">
        <v>249</v>
      </c>
      <c r="AX248" s="0" t="s">
        <v>187</v>
      </c>
      <c r="AY248" s="0" t="s">
        <v>250</v>
      </c>
      <c r="AZ248" s="0" t="s">
        <v>251</v>
      </c>
      <c r="BA248" s="0" t="s">
        <v>191</v>
      </c>
      <c r="BB248" s="0" t="s">
        <v>249</v>
      </c>
      <c r="BC248" s="0" t="s">
        <v>252</v>
      </c>
      <c r="BI248" s="0" t="n">
        <v>25000000</v>
      </c>
      <c r="BJ248" s="0" t="n">
        <v>25000000</v>
      </c>
      <c r="BK248" s="0" t="s">
        <v>253</v>
      </c>
      <c r="BL248" s="0" t="s">
        <v>201</v>
      </c>
      <c r="BN248" s="0" t="n">
        <v>13.5</v>
      </c>
      <c r="BO248" s="0" t="n">
        <v>14.86</v>
      </c>
      <c r="BP248" s="0" t="s">
        <v>187</v>
      </c>
      <c r="BQ248" s="0" t="s">
        <v>187</v>
      </c>
      <c r="BR248" s="0" t="s">
        <v>203</v>
      </c>
      <c r="BS248" s="0" t="s">
        <v>721</v>
      </c>
      <c r="BT248" s="0" t="s">
        <v>255</v>
      </c>
      <c r="BU248" s="0" t="s">
        <v>216</v>
      </c>
      <c r="BW248" s="0" t="s">
        <v>206</v>
      </c>
      <c r="BX248" s="0" t="s">
        <v>207</v>
      </c>
      <c r="BY248" s="0" t="n">
        <v>255</v>
      </c>
      <c r="BZ248" s="0" t="n">
        <v>255</v>
      </c>
      <c r="CC248" s="0" t="s">
        <v>256</v>
      </c>
      <c r="CD248" s="0" t="s">
        <v>256</v>
      </c>
      <c r="CE248" s="0" t="s">
        <v>211</v>
      </c>
      <c r="CF248" s="0" t="s">
        <v>211</v>
      </c>
      <c r="CG248" s="0" t="s">
        <v>211</v>
      </c>
      <c r="CH248" s="1" t="n">
        <v>46112</v>
      </c>
      <c r="CI248" s="0" t="n">
        <v>1.2</v>
      </c>
      <c r="CJ248" s="0" t="n">
        <v>3.11</v>
      </c>
      <c r="CK248" s="0" t="n">
        <v>3.27</v>
      </c>
      <c r="CL248" s="0" t="s">
        <v>212</v>
      </c>
      <c r="DA248" s="0" t="n">
        <v>0.79</v>
      </c>
      <c r="DC248" s="0" t="n">
        <v>0.85</v>
      </c>
      <c r="DD248" s="0" t="s">
        <v>212</v>
      </c>
      <c r="ED248" s="0" t="s">
        <v>213</v>
      </c>
      <c r="EE248" s="0" t="n">
        <v>1.05</v>
      </c>
      <c r="EI248" s="0" t="n">
        <v>1.12</v>
      </c>
      <c r="FQ248" s="0" t="n">
        <v>61690553</v>
      </c>
    </row>
    <row r="249" customFormat="false" ht="15" hidden="false" customHeight="false" outlineLevel="0" collapsed="false">
      <c r="B249" s="0" t="str">
        <f aca="false">C249&amp;"x"&amp;I249</f>
        <v>61018x999002</v>
      </c>
      <c r="C249" s="0" t="n">
        <f aca="false">IF(G249="SINGLE",H249,G249)</f>
        <v>61018</v>
      </c>
      <c r="D249" s="0" t="e">
        <f aca="false">_xlfn.XLOOKUP(I249,calculations!$t:$t,calculations!$s:$s)</f>
        <v>#VALUE!</v>
      </c>
      <c r="E249" s="0" t="e">
        <f aca="false">_xlfn.XLOOKUP(I249,Mapping!$T:$T,Mapping!$Q:$Q)</f>
        <v>#N/A</v>
      </c>
      <c r="F249" s="1" t="n">
        <v>46203</v>
      </c>
      <c r="G249" s="0" t="n">
        <v>61018</v>
      </c>
      <c r="H249" s="0" t="n">
        <v>61018</v>
      </c>
      <c r="I249" s="0" t="n">
        <v>999002</v>
      </c>
      <c r="J249" s="0" t="s">
        <v>722</v>
      </c>
      <c r="K249" s="0" t="s">
        <v>258</v>
      </c>
      <c r="L249" s="0" t="s">
        <v>258</v>
      </c>
      <c r="M249" s="0" t="s">
        <v>184</v>
      </c>
      <c r="N249" s="0" t="n">
        <v>25000000</v>
      </c>
      <c r="O249" s="0" t="n">
        <v>25000000</v>
      </c>
      <c r="P249" s="0" t="s">
        <v>185</v>
      </c>
      <c r="Q249" s="0" t="s">
        <v>227</v>
      </c>
      <c r="R249" s="0" t="s">
        <v>187</v>
      </c>
      <c r="S249" s="0" t="s">
        <v>723</v>
      </c>
      <c r="T249" s="0" t="s">
        <v>189</v>
      </c>
      <c r="U249" s="0" t="s">
        <v>190</v>
      </c>
      <c r="V249" s="0" t="s">
        <v>191</v>
      </c>
      <c r="W249" s="0" t="s">
        <v>246</v>
      </c>
      <c r="X249" s="0" t="s">
        <v>247</v>
      </c>
      <c r="Y249" s="0" t="n">
        <v>12.6</v>
      </c>
      <c r="Z249" s="0" t="s">
        <v>185</v>
      </c>
      <c r="AA249" s="0" t="n">
        <v>1</v>
      </c>
      <c r="AB249" s="0" t="s">
        <v>187</v>
      </c>
      <c r="AC249" s="0" t="n">
        <v>25000000</v>
      </c>
      <c r="AD249" s="0" t="n">
        <v>25000000</v>
      </c>
      <c r="AE249" s="0" t="n">
        <v>25000000</v>
      </c>
      <c r="AF249" s="0" t="n">
        <v>1</v>
      </c>
      <c r="AG249" s="0" t="n">
        <v>25000000</v>
      </c>
      <c r="AH249" s="0" t="n">
        <v>25000000</v>
      </c>
      <c r="AI249" s="0" t="n">
        <v>0</v>
      </c>
      <c r="AJ249" s="0" t="n">
        <v>25000000</v>
      </c>
      <c r="AK249" s="0" t="n">
        <v>25000000</v>
      </c>
      <c r="AL249" s="0" t="n">
        <v>25000000</v>
      </c>
      <c r="AN249" s="0" t="n">
        <v>3.056</v>
      </c>
      <c r="AO249" s="0" t="n">
        <v>2.929</v>
      </c>
      <c r="AP249" s="0" t="n">
        <v>6.329</v>
      </c>
      <c r="AQ249" s="0" t="n">
        <v>100</v>
      </c>
      <c r="AR249" s="0" t="n">
        <v>100</v>
      </c>
      <c r="AS249" s="1" t="n">
        <v>43414</v>
      </c>
      <c r="AT249" s="1" t="n">
        <v>51631</v>
      </c>
      <c r="AU249" s="1" t="n">
        <v>46295</v>
      </c>
      <c r="AV249" s="0" t="s">
        <v>248</v>
      </c>
      <c r="AW249" s="0" t="s">
        <v>249</v>
      </c>
      <c r="AX249" s="0" t="s">
        <v>187</v>
      </c>
      <c r="AY249" s="0" t="s">
        <v>250</v>
      </c>
      <c r="AZ249" s="0" t="s">
        <v>251</v>
      </c>
      <c r="BA249" s="0" t="s">
        <v>191</v>
      </c>
      <c r="BB249" s="0" t="s">
        <v>249</v>
      </c>
      <c r="BC249" s="0" t="s">
        <v>252</v>
      </c>
      <c r="BI249" s="0" t="n">
        <v>25000000</v>
      </c>
      <c r="BJ249" s="0" t="n">
        <v>25000000</v>
      </c>
      <c r="BK249" s="0" t="s">
        <v>253</v>
      </c>
      <c r="BL249" s="0" t="s">
        <v>201</v>
      </c>
      <c r="BN249" s="0" t="n">
        <v>13.5</v>
      </c>
      <c r="BO249" s="0" t="n">
        <v>14.86</v>
      </c>
      <c r="BP249" s="0" t="s">
        <v>187</v>
      </c>
      <c r="BQ249" s="0" t="s">
        <v>187</v>
      </c>
      <c r="BR249" s="0" t="s">
        <v>203</v>
      </c>
      <c r="BS249" s="0" t="s">
        <v>724</v>
      </c>
      <c r="BT249" s="0" t="s">
        <v>255</v>
      </c>
      <c r="BU249" s="0" t="s">
        <v>220</v>
      </c>
      <c r="BW249" s="0" t="s">
        <v>257</v>
      </c>
      <c r="BX249" s="0" t="s">
        <v>217</v>
      </c>
      <c r="BY249" s="0" t="n">
        <v>255</v>
      </c>
      <c r="BZ249" s="0" t="n">
        <v>255</v>
      </c>
      <c r="CC249" s="0" t="s">
        <v>256</v>
      </c>
      <c r="CD249" s="0" t="s">
        <v>256</v>
      </c>
      <c r="CE249" s="0" t="s">
        <v>211</v>
      </c>
      <c r="CF249" s="0" t="s">
        <v>211</v>
      </c>
      <c r="CG249" s="0" t="s">
        <v>211</v>
      </c>
      <c r="CH249" s="1" t="n">
        <v>46112</v>
      </c>
      <c r="CI249" s="0" t="n">
        <v>1.2</v>
      </c>
      <c r="CJ249" s="0" t="n">
        <v>2.35</v>
      </c>
      <c r="CK249" s="0" t="n">
        <v>2.47</v>
      </c>
      <c r="CL249" s="0" t="s">
        <v>212</v>
      </c>
      <c r="DA249" s="0" t="n">
        <v>0.53</v>
      </c>
      <c r="DC249" s="0" t="n">
        <v>0.85</v>
      </c>
      <c r="DD249" s="0" t="s">
        <v>212</v>
      </c>
      <c r="ED249" s="0" t="s">
        <v>213</v>
      </c>
      <c r="EE249" s="0" t="n">
        <v>1.05</v>
      </c>
      <c r="EI249" s="0" t="n">
        <v>1.12</v>
      </c>
      <c r="FQ249" s="0" t="n">
        <v>52961004</v>
      </c>
    </row>
    <row r="250" customFormat="false" ht="15" hidden="false" customHeight="false" outlineLevel="0" collapsed="false">
      <c r="B250" s="0" t="str">
        <f aca="false">C250&amp;"x"&amp;I250</f>
        <v>99999x100203</v>
      </c>
      <c r="C250" s="0" t="n">
        <f aca="false">IF(G250="SINGLE",H250,G250)</f>
        <v>99999</v>
      </c>
      <c r="D250" s="0" t="e">
        <f aca="false">_xlfn.XLOOKUP(I250,calculations!$t:$t,calculations!$s:$s)</f>
        <v>#VALUE!</v>
      </c>
      <c r="E250" s="0" t="str">
        <f aca="false">_xlfn.XLOOKUP(I250,Mapping!$T:$T,Mapping!$Q:$Q)</f>
        <v>DELT04</v>
      </c>
      <c r="F250" s="1" t="n">
        <v>46203</v>
      </c>
      <c r="G250" s="0" t="n">
        <v>99999</v>
      </c>
      <c r="H250" s="0" t="n">
        <v>99999</v>
      </c>
      <c r="I250" s="0" t="n">
        <v>100203</v>
      </c>
      <c r="J250" s="0" t="s">
        <v>259</v>
      </c>
      <c r="K250" s="0" t="s">
        <v>226</v>
      </c>
      <c r="L250" s="0" t="s">
        <v>226</v>
      </c>
      <c r="M250" s="0" t="s">
        <v>184</v>
      </c>
      <c r="N250" s="0" t="n">
        <v>1062000</v>
      </c>
      <c r="O250" s="0" t="n">
        <v>1242105.26</v>
      </c>
      <c r="P250" s="0" t="s">
        <v>185</v>
      </c>
      <c r="Q250" s="0" t="s">
        <v>186</v>
      </c>
      <c r="R250" s="0" t="s">
        <v>187</v>
      </c>
      <c r="S250" s="0" t="s">
        <v>261</v>
      </c>
      <c r="T250" s="0" t="s">
        <v>189</v>
      </c>
      <c r="U250" s="0" t="s">
        <v>229</v>
      </c>
      <c r="V250" s="0" t="s">
        <v>230</v>
      </c>
      <c r="W250" s="0" t="s">
        <v>262</v>
      </c>
      <c r="X250" s="0" t="s">
        <v>263</v>
      </c>
      <c r="Y250" s="0" t="n">
        <v>14.2</v>
      </c>
      <c r="Z250" s="0" t="s">
        <v>219</v>
      </c>
      <c r="AA250" s="0" t="n">
        <v>0.855</v>
      </c>
      <c r="AB250" s="0" t="s">
        <v>202</v>
      </c>
      <c r="AC250" s="0" t="n">
        <v>2040000</v>
      </c>
      <c r="AD250" s="0" t="n">
        <v>2040000</v>
      </c>
      <c r="AE250" s="0" t="n">
        <v>2385964.91</v>
      </c>
      <c r="AF250" s="0" t="n">
        <v>0.5206</v>
      </c>
      <c r="AG250" s="0" t="n">
        <v>1062000</v>
      </c>
      <c r="AH250" s="0" t="n">
        <v>1062000</v>
      </c>
      <c r="AI250" s="0" t="n">
        <v>978000</v>
      </c>
      <c r="AJ250" s="0" t="n">
        <v>2040000</v>
      </c>
      <c r="AK250" s="0" t="n">
        <v>1062000</v>
      </c>
      <c r="AL250" s="0" t="n">
        <v>1062000</v>
      </c>
      <c r="AN250" s="0" t="n">
        <v>3.857</v>
      </c>
      <c r="AO250" s="0" t="n">
        <v>5.763</v>
      </c>
      <c r="AP250" s="0" t="n">
        <v>4.651</v>
      </c>
      <c r="AQ250" s="0" t="n">
        <v>100</v>
      </c>
      <c r="AR250" s="0" t="n">
        <v>100</v>
      </c>
      <c r="AS250" s="1" t="n">
        <v>44791</v>
      </c>
      <c r="AT250" s="1" t="n">
        <v>54288</v>
      </c>
      <c r="AU250" s="1" t="n">
        <v>46295</v>
      </c>
      <c r="AV250" s="0" t="s">
        <v>264</v>
      </c>
      <c r="AW250" s="0" t="s">
        <v>196</v>
      </c>
      <c r="AX250" s="0" t="s">
        <v>187</v>
      </c>
      <c r="AY250" s="0" t="s">
        <v>265</v>
      </c>
      <c r="AZ250" s="0" t="s">
        <v>266</v>
      </c>
      <c r="BA250" s="0" t="s">
        <v>230</v>
      </c>
      <c r="BB250" s="0" t="s">
        <v>196</v>
      </c>
      <c r="BC250" s="0" t="s">
        <v>267</v>
      </c>
      <c r="BI250" s="0" t="n">
        <v>2040000</v>
      </c>
      <c r="BJ250" s="0" t="n">
        <v>2385964.91</v>
      </c>
      <c r="BK250" s="0" t="s">
        <v>253</v>
      </c>
      <c r="BL250" s="0" t="s">
        <v>201</v>
      </c>
      <c r="BN250" s="0" t="n">
        <v>15.6</v>
      </c>
      <c r="BO250" s="0" t="n">
        <v>22.14</v>
      </c>
      <c r="BP250" s="0" t="s">
        <v>187</v>
      </c>
      <c r="BQ250" s="0" t="s">
        <v>187</v>
      </c>
      <c r="BR250" s="0" t="s">
        <v>203</v>
      </c>
      <c r="BS250" s="0" t="s">
        <v>268</v>
      </c>
      <c r="BT250" s="0" t="s">
        <v>269</v>
      </c>
      <c r="BU250" s="0" t="s">
        <v>216</v>
      </c>
      <c r="BW250" s="0" t="s">
        <v>257</v>
      </c>
      <c r="BX250" s="0" t="s">
        <v>217</v>
      </c>
      <c r="BY250" s="0" t="n">
        <v>325</v>
      </c>
      <c r="BZ250" s="0" t="n">
        <v>325</v>
      </c>
      <c r="CC250" s="0" t="s">
        <v>210</v>
      </c>
      <c r="CD250" s="0" t="s">
        <v>210</v>
      </c>
      <c r="CE250" s="0" t="s">
        <v>211</v>
      </c>
      <c r="CF250" s="0" t="s">
        <v>211</v>
      </c>
      <c r="CG250" s="0" t="s">
        <v>211</v>
      </c>
      <c r="CH250" s="1" t="n">
        <v>46112</v>
      </c>
      <c r="CI250" s="0" t="n">
        <v>1.2</v>
      </c>
      <c r="CJ250" s="0" t="n">
        <v>1.64</v>
      </c>
      <c r="CK250" s="0" t="n">
        <v>1.72</v>
      </c>
      <c r="CL250" s="0" t="s">
        <v>212</v>
      </c>
      <c r="DA250" s="0" t="n">
        <v>0.83</v>
      </c>
      <c r="DC250" s="0" t="n">
        <v>0.85</v>
      </c>
      <c r="DD250" s="0" t="s">
        <v>213</v>
      </c>
      <c r="ED250" s="0" t="s">
        <v>212</v>
      </c>
      <c r="EE250" s="0" t="n">
        <v>1.05</v>
      </c>
      <c r="EI250" s="0" t="n">
        <v>1.54</v>
      </c>
      <c r="FQ250" s="0" t="n">
        <v>9437956</v>
      </c>
    </row>
    <row r="251" customFormat="false" ht="15" hidden="false" customHeight="false" outlineLevel="0" collapsed="false">
      <c r="B251" s="0" t="str">
        <f aca="false">C251&amp;"x"&amp;I251</f>
        <v>61010x100205</v>
      </c>
      <c r="C251" s="0" t="n">
        <f aca="false">IF(G251="SINGLE",H251,G251)</f>
        <v>61010</v>
      </c>
      <c r="D251" s="0" t="e">
        <f aca="false">_xlfn.XLOOKUP(I251,calculations!$t:$t,calculations!$s:$s)</f>
        <v>#VALUE!</v>
      </c>
      <c r="E251" s="0" t="str">
        <f aca="false">_xlfn.XLOOKUP(I251,Mapping!$T:$T,Mapping!$Q:$Q)</f>
        <v>EMBE05</v>
      </c>
      <c r="F251" s="1" t="n">
        <v>46203</v>
      </c>
      <c r="G251" s="0" t="n">
        <v>61010</v>
      </c>
      <c r="H251" s="0" t="n">
        <v>61010</v>
      </c>
      <c r="I251" s="0" t="n">
        <v>100205</v>
      </c>
      <c r="J251" s="0" t="s">
        <v>276</v>
      </c>
      <c r="K251" s="0" t="s">
        <v>461</v>
      </c>
      <c r="L251" s="0" t="s">
        <v>461</v>
      </c>
      <c r="M251" s="0" t="s">
        <v>184</v>
      </c>
      <c r="N251" s="0" t="n">
        <v>12000000</v>
      </c>
      <c r="P251" s="0" t="s">
        <v>185</v>
      </c>
      <c r="Q251" s="0" t="s">
        <v>227</v>
      </c>
      <c r="R251" s="0" t="s">
        <v>187</v>
      </c>
      <c r="S251" s="0" t="s">
        <v>278</v>
      </c>
      <c r="T251" s="0" t="s">
        <v>189</v>
      </c>
      <c r="U251" s="0" t="s">
        <v>279</v>
      </c>
      <c r="V251" s="0" t="s">
        <v>280</v>
      </c>
      <c r="W251" s="0" t="s">
        <v>281</v>
      </c>
      <c r="X251" s="0" t="s">
        <v>282</v>
      </c>
      <c r="Y251" s="0" t="n">
        <v>8.1</v>
      </c>
      <c r="Z251" s="0" t="s">
        <v>725</v>
      </c>
      <c r="AB251" s="0" t="s">
        <v>202</v>
      </c>
      <c r="AC251" s="0" t="n">
        <v>12000000</v>
      </c>
      <c r="AD251" s="0" t="n">
        <v>12000000</v>
      </c>
      <c r="AF251" s="0" t="n">
        <v>1</v>
      </c>
      <c r="AG251" s="0" t="n">
        <v>12000000</v>
      </c>
      <c r="AH251" s="0" t="n">
        <v>12000000</v>
      </c>
      <c r="AI251" s="0" t="n">
        <v>0</v>
      </c>
      <c r="AJ251" s="0" t="n">
        <v>12000000</v>
      </c>
      <c r="AK251" s="0" t="n">
        <v>12000000</v>
      </c>
      <c r="AL251" s="0" t="n">
        <v>12000000</v>
      </c>
      <c r="AN251" s="0" t="n">
        <v>3.07</v>
      </c>
      <c r="AO251" s="0" t="n">
        <v>3.688</v>
      </c>
      <c r="AP251" s="0" t="n">
        <v>5.857</v>
      </c>
      <c r="AQ251" s="0" t="n">
        <v>100</v>
      </c>
      <c r="AR251" s="0" t="n">
        <v>100</v>
      </c>
      <c r="AS251" s="1" t="n">
        <v>44791</v>
      </c>
      <c r="AT251" s="1" t="n">
        <v>48809</v>
      </c>
      <c r="AU251" s="1" t="n">
        <v>46295</v>
      </c>
      <c r="AV251" s="0" t="s">
        <v>283</v>
      </c>
      <c r="AW251" s="0" t="s">
        <v>284</v>
      </c>
      <c r="AX251" s="0" t="s">
        <v>187</v>
      </c>
      <c r="AY251" s="0" t="s">
        <v>285</v>
      </c>
      <c r="AZ251" s="0" t="s">
        <v>286</v>
      </c>
      <c r="BA251" s="0" t="s">
        <v>280</v>
      </c>
      <c r="BB251" s="0" t="s">
        <v>284</v>
      </c>
      <c r="BC251" s="0" t="s">
        <v>287</v>
      </c>
      <c r="BI251" s="0" t="n">
        <v>12000000</v>
      </c>
      <c r="BK251" s="0" t="s">
        <v>253</v>
      </c>
      <c r="BL251" s="0" t="s">
        <v>201</v>
      </c>
      <c r="BN251" s="0" t="n">
        <v>6.6</v>
      </c>
      <c r="BO251" s="0" t="n">
        <v>7.13</v>
      </c>
      <c r="BP251" s="0" t="s">
        <v>187</v>
      </c>
      <c r="BQ251" s="0" t="s">
        <v>187</v>
      </c>
      <c r="BR251" s="0" t="s">
        <v>203</v>
      </c>
      <c r="BS251" s="0" t="s">
        <v>288</v>
      </c>
      <c r="BT251" s="0" t="s">
        <v>216</v>
      </c>
      <c r="BU251" s="0" t="s">
        <v>216</v>
      </c>
      <c r="BW251" s="0" t="s">
        <v>257</v>
      </c>
      <c r="BX251" s="0" t="s">
        <v>207</v>
      </c>
      <c r="BY251" s="0" t="n">
        <v>245</v>
      </c>
      <c r="BZ251" s="0" t="n">
        <v>245</v>
      </c>
      <c r="CC251" s="0" t="s">
        <v>289</v>
      </c>
      <c r="CD251" s="0" t="s">
        <v>289</v>
      </c>
      <c r="CE251" s="0" t="s">
        <v>289</v>
      </c>
      <c r="CF251" s="0" t="s">
        <v>211</v>
      </c>
      <c r="CG251" s="0" t="s">
        <v>211</v>
      </c>
      <c r="CH251" s="1" t="n">
        <v>46112</v>
      </c>
      <c r="CI251" s="0" t="n">
        <v>1.2</v>
      </c>
      <c r="CJ251" s="0" t="n">
        <v>2.54</v>
      </c>
      <c r="CK251" s="0" t="n">
        <v>2.67</v>
      </c>
      <c r="CL251" s="0" t="s">
        <v>212</v>
      </c>
      <c r="DA251" s="0" t="n">
        <v>0.58</v>
      </c>
      <c r="DC251" s="0" t="n">
        <v>0.85</v>
      </c>
      <c r="DD251" s="0" t="s">
        <v>212</v>
      </c>
      <c r="ED251" s="0" t="s">
        <v>213</v>
      </c>
      <c r="EE251" s="0" t="n">
        <v>1.05</v>
      </c>
      <c r="EI251" s="0" t="n">
        <v>1.14</v>
      </c>
      <c r="FQ251" s="0" t="n">
        <v>52874607</v>
      </c>
    </row>
    <row r="252" customFormat="false" ht="15" hidden="false" customHeight="false" outlineLevel="0" collapsed="false">
      <c r="B252" s="0" t="str">
        <f aca="false">C252&amp;"x"&amp;I252</f>
        <v>61012x100201</v>
      </c>
      <c r="C252" s="0" t="n">
        <f aca="false">IF(G252="SINGLE",H252,G252)</f>
        <v>61012</v>
      </c>
      <c r="D252" s="0" t="e">
        <f aca="false">_xlfn.XLOOKUP(I252,calculations!$t:$t,calculations!$s:$s)</f>
        <v>#VALUE!</v>
      </c>
      <c r="E252" s="0" t="str">
        <f aca="false">_xlfn.XLOOKUP(I252,Mapping!$T:$T,Mapping!$Q:$Q)</f>
        <v>BEAC02</v>
      </c>
      <c r="F252" s="1" t="n">
        <v>46203</v>
      </c>
      <c r="G252" s="0" t="n">
        <v>61012</v>
      </c>
      <c r="H252" s="0" t="n">
        <v>61012</v>
      </c>
      <c r="I252" s="0" t="n">
        <v>100201</v>
      </c>
      <c r="J252" s="0" t="s">
        <v>225</v>
      </c>
      <c r="K252" s="0" t="s">
        <v>332</v>
      </c>
      <c r="L252" s="0" t="s">
        <v>332</v>
      </c>
      <c r="M252" s="0" t="s">
        <v>184</v>
      </c>
      <c r="N252" s="0" t="n">
        <v>30000000</v>
      </c>
      <c r="O252" s="0" t="n">
        <v>35087719.3</v>
      </c>
      <c r="P252" s="0" t="s">
        <v>219</v>
      </c>
      <c r="Q252" s="0" t="s">
        <v>227</v>
      </c>
      <c r="R252" s="0" t="s">
        <v>202</v>
      </c>
      <c r="S252" s="0" t="s">
        <v>228</v>
      </c>
      <c r="T252" s="0" t="s">
        <v>189</v>
      </c>
      <c r="U252" s="0" t="s">
        <v>229</v>
      </c>
      <c r="V252" s="0" t="s">
        <v>230</v>
      </c>
      <c r="W252" s="0" t="s">
        <v>231</v>
      </c>
      <c r="X252" s="0" t="s">
        <v>232</v>
      </c>
      <c r="Y252" s="0" t="n">
        <v>10.5</v>
      </c>
      <c r="Z252" s="0" t="s">
        <v>219</v>
      </c>
      <c r="AA252" s="0" t="n">
        <v>0.855</v>
      </c>
      <c r="AB252" s="0" t="s">
        <v>202</v>
      </c>
      <c r="AC252" s="0" t="n">
        <v>30000000</v>
      </c>
      <c r="AD252" s="0" t="n">
        <v>30000000</v>
      </c>
      <c r="AE252" s="0" t="n">
        <v>35087719.3</v>
      </c>
      <c r="AF252" s="0" t="n">
        <v>1</v>
      </c>
      <c r="AG252" s="0" t="n">
        <v>30000000</v>
      </c>
      <c r="AH252" s="0" t="n">
        <v>30000000</v>
      </c>
      <c r="AI252" s="0" t="n">
        <v>0</v>
      </c>
      <c r="AJ252" s="0" t="n">
        <v>30000000</v>
      </c>
      <c r="AK252" s="0" t="n">
        <v>30000000</v>
      </c>
      <c r="AL252" s="0" t="n">
        <v>30000000</v>
      </c>
      <c r="AM252" s="0" t="s">
        <v>194</v>
      </c>
      <c r="AN252" s="0" t="n">
        <v>4.374</v>
      </c>
      <c r="AO252" s="0" t="n">
        <v>4.911</v>
      </c>
      <c r="AP252" s="0" t="n">
        <v>6.478</v>
      </c>
      <c r="AQ252" s="0" t="n">
        <v>100</v>
      </c>
      <c r="AR252" s="0" t="n">
        <v>100</v>
      </c>
      <c r="AS252" s="1" t="n">
        <v>45048</v>
      </c>
      <c r="AT252" s="1" t="n">
        <v>50346</v>
      </c>
      <c r="AU252" s="1" t="n">
        <v>46295</v>
      </c>
      <c r="AV252" s="0" t="s">
        <v>233</v>
      </c>
      <c r="AW252" s="0" t="s">
        <v>234</v>
      </c>
      <c r="AX252" s="0" t="s">
        <v>187</v>
      </c>
      <c r="AY252" s="0" t="s">
        <v>235</v>
      </c>
      <c r="AZ252" s="0" t="s">
        <v>236</v>
      </c>
      <c r="BA252" s="0" t="s">
        <v>230</v>
      </c>
      <c r="BB252" s="0" t="s">
        <v>234</v>
      </c>
      <c r="BC252" s="0" t="s">
        <v>237</v>
      </c>
      <c r="BI252" s="0" t="n">
        <v>30000000</v>
      </c>
      <c r="BJ252" s="0" t="n">
        <v>35087719.3</v>
      </c>
      <c r="BK252" s="0" t="s">
        <v>200</v>
      </c>
      <c r="BL252" s="0" t="s">
        <v>201</v>
      </c>
      <c r="BN252" s="0" t="n">
        <v>8.7</v>
      </c>
      <c r="BO252" s="0" t="n">
        <v>11.34</v>
      </c>
      <c r="BP252" s="0" t="s">
        <v>202</v>
      </c>
      <c r="BQ252" s="0" t="s">
        <v>187</v>
      </c>
      <c r="BR252" s="0" t="s">
        <v>203</v>
      </c>
      <c r="BS252" s="0" t="s">
        <v>238</v>
      </c>
      <c r="BT252" s="0" t="s">
        <v>205</v>
      </c>
      <c r="BU252" s="0" t="s">
        <v>220</v>
      </c>
      <c r="BW252" s="0" t="s">
        <v>206</v>
      </c>
      <c r="BX252" s="0" t="s">
        <v>217</v>
      </c>
      <c r="BY252" s="0" t="n">
        <v>345</v>
      </c>
      <c r="BZ252" s="0" t="n">
        <v>345</v>
      </c>
      <c r="CB252" s="0" t="s">
        <v>208</v>
      </c>
      <c r="CC252" s="0" t="s">
        <v>239</v>
      </c>
      <c r="CD252" s="0" t="s">
        <v>239</v>
      </c>
      <c r="CE252" s="0" t="s">
        <v>209</v>
      </c>
      <c r="CF252" s="0" t="s">
        <v>211</v>
      </c>
      <c r="CG252" s="0" t="s">
        <v>240</v>
      </c>
      <c r="CH252" s="1" t="n">
        <v>46112</v>
      </c>
      <c r="CI252" s="0" t="n">
        <v>1.2</v>
      </c>
      <c r="CJ252" s="0" t="n">
        <v>3.22</v>
      </c>
      <c r="CK252" s="0" t="n">
        <v>3.38</v>
      </c>
      <c r="CL252" s="0" t="s">
        <v>212</v>
      </c>
      <c r="DA252" s="0" t="n">
        <v>0.49</v>
      </c>
      <c r="DC252" s="0" t="n">
        <v>0.85</v>
      </c>
      <c r="DD252" s="0" t="s">
        <v>212</v>
      </c>
      <c r="ED252" s="0" t="s">
        <v>212</v>
      </c>
      <c r="EE252" s="0" t="n">
        <v>1.05</v>
      </c>
      <c r="EI252" s="0" t="n">
        <v>1.53</v>
      </c>
      <c r="FQ252" s="0" t="n">
        <v>95229761</v>
      </c>
    </row>
    <row r="253" customFormat="false" ht="15" hidden="false" customHeight="false" outlineLevel="0" collapsed="false">
      <c r="B253" s="0" t="s">
        <v>726</v>
      </c>
      <c r="C253" s="0" t="n">
        <v>0</v>
      </c>
      <c r="D253" s="0" t="e">
        <f aca="false">#N/A</f>
        <v>#N/A</v>
      </c>
      <c r="E253" s="0" t="e">
        <f aca="false">#N/A</f>
        <v>#N/A</v>
      </c>
    </row>
    <row r="254" customFormat="false" ht="15" hidden="false" customHeight="false" outlineLevel="0" collapsed="false">
      <c r="B254" s="0" t="s">
        <v>726</v>
      </c>
      <c r="C254" s="0" t="n">
        <v>0</v>
      </c>
      <c r="D254" s="0" t="e">
        <f aca="false">#N/A</f>
        <v>#N/A</v>
      </c>
      <c r="E254" s="0" t="e">
        <f aca="false">#N/A</f>
        <v>#N/A</v>
      </c>
    </row>
    <row r="255" customFormat="false" ht="15" hidden="false" customHeight="false" outlineLevel="0" collapsed="false">
      <c r="B255" s="0" t="s">
        <v>726</v>
      </c>
      <c r="C255" s="0" t="n">
        <v>0</v>
      </c>
      <c r="D255" s="0" t="e">
        <f aca="false">#N/A</f>
        <v>#N/A</v>
      </c>
      <c r="E255" s="0" t="e">
        <f aca="false">#N/A</f>
        <v>#N/A</v>
      </c>
    </row>
    <row r="256" customFormat="false" ht="15" hidden="false" customHeight="false" outlineLevel="0" collapsed="false">
      <c r="B256" s="0" t="s">
        <v>726</v>
      </c>
      <c r="C256" s="0" t="n">
        <v>0</v>
      </c>
      <c r="D256" s="0" t="e">
        <f aca="false">#N/A</f>
        <v>#N/A</v>
      </c>
      <c r="E256" s="0" t="e">
        <f aca="false">#N/A</f>
        <v>#N/A</v>
      </c>
    </row>
    <row r="257" customFormat="false" ht="15" hidden="false" customHeight="false" outlineLevel="0" collapsed="false">
      <c r="B257" s="0" t="s">
        <v>726</v>
      </c>
      <c r="C257" s="0" t="n">
        <v>0</v>
      </c>
      <c r="D257" s="0" t="e">
        <f aca="false">#N/A</f>
        <v>#N/A</v>
      </c>
      <c r="E257" s="0" t="e">
        <f aca="false">#N/A</f>
        <v>#N/A</v>
      </c>
    </row>
    <row r="258" customFormat="false" ht="15" hidden="false" customHeight="false" outlineLevel="0" collapsed="false">
      <c r="B258" s="0" t="s">
        <v>726</v>
      </c>
      <c r="C258" s="0" t="n">
        <v>0</v>
      </c>
      <c r="D258" s="0" t="e">
        <f aca="false">#N/A</f>
        <v>#N/A</v>
      </c>
      <c r="E258" s="0" t="e">
        <f aca="false">#N/A</f>
        <v>#N/A</v>
      </c>
    </row>
    <row r="259" customFormat="false" ht="15" hidden="false" customHeight="false" outlineLevel="0" collapsed="false">
      <c r="B259" s="0" t="s">
        <v>726</v>
      </c>
      <c r="C259" s="0" t="n">
        <v>0</v>
      </c>
      <c r="D259" s="0" t="e">
        <f aca="false">#N/A</f>
        <v>#N/A</v>
      </c>
      <c r="E259" s="0" t="e">
        <f aca="false">#N/A</f>
        <v>#N/A</v>
      </c>
    </row>
    <row r="260" customFormat="false" ht="15" hidden="false" customHeight="false" outlineLevel="0" collapsed="false">
      <c r="B260" s="0" t="s">
        <v>726</v>
      </c>
      <c r="C260" s="0" t="n">
        <v>0</v>
      </c>
      <c r="D260" s="0" t="e">
        <f aca="false">#N/A</f>
        <v>#N/A</v>
      </c>
      <c r="E260" s="0" t="e">
        <f aca="false">#N/A</f>
        <v>#N/A</v>
      </c>
    </row>
    <row r="261" customFormat="false" ht="15" hidden="false" customHeight="false" outlineLevel="0" collapsed="false">
      <c r="B261" s="0" t="s">
        <v>726</v>
      </c>
      <c r="C261" s="0" t="n">
        <v>0</v>
      </c>
      <c r="D261" s="0" t="e">
        <f aca="false">#N/A</f>
        <v>#N/A</v>
      </c>
      <c r="E261" s="0" t="e">
        <f aca="false">#N/A</f>
        <v>#N/A</v>
      </c>
    </row>
    <row r="262" customFormat="false" ht="15" hidden="false" customHeight="false" outlineLevel="0" collapsed="false">
      <c r="B262" s="0" t="s">
        <v>726</v>
      </c>
      <c r="C262" s="0" t="n">
        <v>0</v>
      </c>
      <c r="D262" s="0" t="e">
        <f aca="false">#N/A</f>
        <v>#N/A</v>
      </c>
      <c r="E262" s="0" t="e">
        <f aca="false">#N/A</f>
        <v>#N/A</v>
      </c>
    </row>
    <row r="263" customFormat="false" ht="15" hidden="false" customHeight="false" outlineLevel="0" collapsed="false">
      <c r="B263" s="0" t="s">
        <v>726</v>
      </c>
      <c r="C263" s="0" t="n">
        <v>0</v>
      </c>
      <c r="D263" s="0" t="e">
        <f aca="false">#N/A</f>
        <v>#N/A</v>
      </c>
      <c r="E263" s="0" t="e">
        <f aca="false">#N/A</f>
        <v>#N/A</v>
      </c>
    </row>
    <row r="264" customFormat="false" ht="15" hidden="false" customHeight="false" outlineLevel="0" collapsed="false">
      <c r="B264" s="0" t="s">
        <v>726</v>
      </c>
      <c r="C264" s="0" t="n">
        <v>0</v>
      </c>
      <c r="D264" s="0" t="e">
        <f aca="false">#N/A</f>
        <v>#N/A</v>
      </c>
      <c r="E264" s="0" t="e">
        <f aca="false">#N/A</f>
        <v>#N/A</v>
      </c>
    </row>
    <row r="265" customFormat="false" ht="15" hidden="false" customHeight="false" outlineLevel="0" collapsed="false">
      <c r="B265" s="0" t="s">
        <v>726</v>
      </c>
      <c r="C265" s="0" t="n">
        <v>0</v>
      </c>
      <c r="D265" s="0" t="e">
        <f aca="false">#N/A</f>
        <v>#N/A</v>
      </c>
      <c r="E265" s="0" t="e">
        <f aca="false">#N/A</f>
        <v>#N/A</v>
      </c>
    </row>
    <row r="266" customFormat="false" ht="15" hidden="false" customHeight="false" outlineLevel="0" collapsed="false">
      <c r="B266" s="0" t="s">
        <v>726</v>
      </c>
      <c r="C266" s="0" t="n">
        <v>0</v>
      </c>
      <c r="D266" s="0" t="e">
        <f aca="false">#N/A</f>
        <v>#N/A</v>
      </c>
      <c r="E266" s="0" t="e">
        <f aca="false">#N/A</f>
        <v>#N/A</v>
      </c>
    </row>
    <row r="267" customFormat="false" ht="15" hidden="false" customHeight="false" outlineLevel="0" collapsed="false">
      <c r="B267" s="0" t="s">
        <v>726</v>
      </c>
      <c r="C267" s="0" t="n">
        <v>0</v>
      </c>
      <c r="D267" s="0" t="e">
        <f aca="false">#N/A</f>
        <v>#N/A</v>
      </c>
      <c r="E267" s="0" t="e">
        <f aca="false">#N/A</f>
        <v>#N/A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2:AJ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2" customFormat="false" ht="15" hidden="false" customHeight="false" outlineLevel="0" collapsed="false">
      <c r="C2" s="0" t="s">
        <v>727</v>
      </c>
      <c r="H2" s="0" t="s">
        <v>728</v>
      </c>
      <c r="Q2" s="0" t="s">
        <v>729</v>
      </c>
      <c r="Y2" s="0" t="s">
        <v>730</v>
      </c>
      <c r="AC2" s="0" t="s">
        <v>731</v>
      </c>
      <c r="AH2" s="0" t="s">
        <v>732</v>
      </c>
    </row>
    <row r="3" customFormat="false" ht="15" hidden="false" customHeight="false" outlineLevel="0" collapsed="false">
      <c r="C3" s="0" t="s">
        <v>733</v>
      </c>
      <c r="D3" s="0" t="s">
        <v>734</v>
      </c>
      <c r="H3" s="0" t="s">
        <v>735</v>
      </c>
      <c r="I3" s="0" t="s">
        <v>736</v>
      </c>
      <c r="J3" s="0" t="s">
        <v>737</v>
      </c>
      <c r="K3" s="0" t="s">
        <v>738</v>
      </c>
      <c r="L3" s="0" t="s">
        <v>739</v>
      </c>
      <c r="M3" s="0" t="s">
        <v>740</v>
      </c>
      <c r="Q3" s="0" t="s">
        <v>3</v>
      </c>
      <c r="R3" s="0" t="s">
        <v>741</v>
      </c>
      <c r="S3" s="0" t="s">
        <v>2</v>
      </c>
      <c r="T3" s="0" t="s">
        <v>742</v>
      </c>
      <c r="U3" s="0" t="s">
        <v>743</v>
      </c>
      <c r="Y3" s="0" t="s">
        <v>744</v>
      </c>
      <c r="Z3" s="0" t="s">
        <v>741</v>
      </c>
      <c r="AA3" s="0" t="s">
        <v>745</v>
      </c>
      <c r="AC3" s="0" t="s">
        <v>746</v>
      </c>
      <c r="AD3" s="0" t="s">
        <v>747</v>
      </c>
      <c r="AE3" s="0" t="s">
        <v>748</v>
      </c>
      <c r="AH3" s="0" t="s">
        <v>737</v>
      </c>
      <c r="AI3" s="0" t="s">
        <v>749</v>
      </c>
      <c r="AJ3" s="0" t="s">
        <v>750</v>
      </c>
    </row>
    <row r="4" customFormat="false" ht="15" hidden="false" customHeight="false" outlineLevel="0" collapsed="false">
      <c r="C4" s="0" t="s">
        <v>4</v>
      </c>
      <c r="D4" s="0" t="s">
        <v>4</v>
      </c>
      <c r="H4" s="0" t="s">
        <v>751</v>
      </c>
      <c r="I4" s="0" t="s">
        <v>182</v>
      </c>
      <c r="J4" s="0" t="s">
        <v>752</v>
      </c>
      <c r="K4" s="0" t="s">
        <v>752</v>
      </c>
      <c r="M4" s="0" t="n">
        <v>1</v>
      </c>
      <c r="P4" s="0" t="n">
        <f aca="false">T4</f>
        <v>100200</v>
      </c>
      <c r="Q4" s="0" t="s">
        <v>752</v>
      </c>
      <c r="R4" s="0" t="s">
        <v>182</v>
      </c>
      <c r="S4" s="0" t="n">
        <v>100200</v>
      </c>
      <c r="T4" s="0" t="n">
        <v>100200</v>
      </c>
      <c r="U4" s="0" t="s">
        <v>753</v>
      </c>
      <c r="Y4" s="0" t="s">
        <v>345</v>
      </c>
      <c r="Z4" s="0" t="s">
        <v>754</v>
      </c>
      <c r="AA4" s="0" t="n">
        <v>61001</v>
      </c>
      <c r="AC4" s="0" t="s">
        <v>755</v>
      </c>
      <c r="AD4" s="0" t="n">
        <v>100</v>
      </c>
      <c r="AE4" s="0" t="s">
        <v>756</v>
      </c>
      <c r="AH4" s="0" t="s">
        <v>214</v>
      </c>
      <c r="AI4" s="0" t="s">
        <v>757</v>
      </c>
      <c r="AJ4" s="0" t="s">
        <v>212</v>
      </c>
    </row>
    <row r="5" customFormat="false" ht="15" hidden="false" customHeight="false" outlineLevel="0" collapsed="false">
      <c r="C5" s="0" t="s">
        <v>5</v>
      </c>
      <c r="D5" s="0" t="s">
        <v>5</v>
      </c>
      <c r="H5" s="0" t="s">
        <v>758</v>
      </c>
      <c r="I5" s="0" t="s">
        <v>225</v>
      </c>
      <c r="J5" s="0" t="s">
        <v>759</v>
      </c>
      <c r="K5" s="0" t="s">
        <v>759</v>
      </c>
      <c r="M5" s="0" t="n">
        <v>2</v>
      </c>
      <c r="P5" s="0" t="n">
        <f aca="false">T5</f>
        <v>100201</v>
      </c>
      <c r="Q5" s="0" t="s">
        <v>759</v>
      </c>
      <c r="R5" s="0" t="s">
        <v>225</v>
      </c>
      <c r="S5" s="0" t="n">
        <v>100201</v>
      </c>
      <c r="T5" s="0" t="n">
        <v>100201</v>
      </c>
      <c r="U5" s="0" t="s">
        <v>753</v>
      </c>
      <c r="Y5" s="0" t="s">
        <v>333</v>
      </c>
      <c r="Z5" s="0" t="s">
        <v>760</v>
      </c>
      <c r="AA5" s="0" t="n">
        <v>61002</v>
      </c>
      <c r="AC5" s="0" t="s">
        <v>761</v>
      </c>
      <c r="AD5" s="0" t="n">
        <v>200</v>
      </c>
      <c r="AE5" s="0" t="s">
        <v>756</v>
      </c>
      <c r="AH5" s="0" t="s">
        <v>273</v>
      </c>
      <c r="AI5" s="0" t="s">
        <v>762</v>
      </c>
      <c r="AJ5" s="0" t="s">
        <v>212</v>
      </c>
    </row>
    <row r="6" customFormat="false" ht="15" hidden="false" customHeight="false" outlineLevel="0" collapsed="false">
      <c r="C6" s="0" t="s">
        <v>6</v>
      </c>
      <c r="D6" s="0" t="s">
        <v>6</v>
      </c>
      <c r="H6" s="0" t="s">
        <v>763</v>
      </c>
      <c r="I6" s="0" t="s">
        <v>242</v>
      </c>
      <c r="J6" s="0" t="s">
        <v>764</v>
      </c>
      <c r="K6" s="0" t="s">
        <v>764</v>
      </c>
      <c r="M6" s="0" t="n">
        <v>3</v>
      </c>
      <c r="P6" s="0" t="n">
        <f aca="false">T6</f>
        <v>100202</v>
      </c>
      <c r="Q6" s="0" t="s">
        <v>764</v>
      </c>
      <c r="R6" s="0" t="s">
        <v>242</v>
      </c>
      <c r="S6" s="0" t="n">
        <v>100202</v>
      </c>
      <c r="T6" s="0" t="n">
        <v>100202</v>
      </c>
      <c r="U6" s="0" t="s">
        <v>765</v>
      </c>
      <c r="Y6" s="0" t="s">
        <v>226</v>
      </c>
      <c r="Z6" s="0" t="s">
        <v>766</v>
      </c>
      <c r="AA6" s="0" t="n">
        <v>61003</v>
      </c>
      <c r="AC6" s="0" t="s">
        <v>318</v>
      </c>
      <c r="AD6" s="0" t="n">
        <v>250</v>
      </c>
      <c r="AE6" s="0" t="s">
        <v>756</v>
      </c>
      <c r="AH6" s="0" t="s">
        <v>221</v>
      </c>
      <c r="AI6" s="0" t="s">
        <v>767</v>
      </c>
      <c r="AJ6" s="0" t="s">
        <v>212</v>
      </c>
    </row>
    <row r="7" customFormat="false" ht="15" hidden="false" customHeight="false" outlineLevel="0" collapsed="false">
      <c r="C7" s="0" t="s">
        <v>7</v>
      </c>
      <c r="D7" s="0" t="s">
        <v>7</v>
      </c>
      <c r="H7" s="0" t="s">
        <v>768</v>
      </c>
      <c r="I7" s="0" t="s">
        <v>259</v>
      </c>
      <c r="J7" s="0" t="s">
        <v>769</v>
      </c>
      <c r="K7" s="0" t="s">
        <v>769</v>
      </c>
      <c r="M7" s="0" t="n">
        <v>4</v>
      </c>
      <c r="P7" s="0" t="n">
        <f aca="false">T7</f>
        <v>100203</v>
      </c>
      <c r="Q7" s="0" t="s">
        <v>769</v>
      </c>
      <c r="R7" s="0" t="s">
        <v>770</v>
      </c>
      <c r="S7" s="0" t="n">
        <v>100203</v>
      </c>
      <c r="T7" s="0" t="n">
        <v>100203</v>
      </c>
      <c r="U7" s="0" t="s">
        <v>765</v>
      </c>
      <c r="Y7" s="0" t="s">
        <v>390</v>
      </c>
      <c r="Z7" s="0" t="s">
        <v>771</v>
      </c>
      <c r="AA7" s="0" t="n">
        <v>61004</v>
      </c>
      <c r="AC7" s="0" t="s">
        <v>317</v>
      </c>
      <c r="AD7" s="0" t="n">
        <v>300</v>
      </c>
      <c r="AE7" s="0" t="s">
        <v>756</v>
      </c>
      <c r="AH7" s="0" t="s">
        <v>183</v>
      </c>
      <c r="AI7" s="0" t="s">
        <v>772</v>
      </c>
      <c r="AJ7" s="0" t="s">
        <v>212</v>
      </c>
    </row>
    <row r="8" customFormat="false" ht="15" hidden="false" customHeight="false" outlineLevel="0" collapsed="false">
      <c r="C8" s="0" t="s">
        <v>8</v>
      </c>
      <c r="D8" s="0" t="s">
        <v>8</v>
      </c>
      <c r="H8" s="0" t="s">
        <v>773</v>
      </c>
      <c r="I8" s="0" t="s">
        <v>270</v>
      </c>
      <c r="J8" s="0" t="s">
        <v>769</v>
      </c>
      <c r="K8" s="0" t="s">
        <v>774</v>
      </c>
      <c r="M8" s="0" t="n">
        <v>5</v>
      </c>
      <c r="P8" s="0" t="n">
        <f aca="false">T8</f>
        <v>100204</v>
      </c>
      <c r="Q8" s="0" t="s">
        <v>769</v>
      </c>
      <c r="R8" s="0" t="s">
        <v>770</v>
      </c>
      <c r="S8" s="0" t="n">
        <v>100203</v>
      </c>
      <c r="T8" s="0" t="n">
        <v>100204</v>
      </c>
      <c r="U8" s="0" t="s">
        <v>765</v>
      </c>
      <c r="Y8" s="0" t="s">
        <v>275</v>
      </c>
      <c r="Z8" s="0" t="s">
        <v>775</v>
      </c>
      <c r="AA8" s="0" t="n">
        <v>61005</v>
      </c>
      <c r="AC8" s="0" t="s">
        <v>667</v>
      </c>
      <c r="AD8" s="0" t="n">
        <v>350</v>
      </c>
      <c r="AE8" s="0" t="s">
        <v>756</v>
      </c>
      <c r="AH8" s="0" t="s">
        <v>319</v>
      </c>
      <c r="AI8" s="0" t="s">
        <v>776</v>
      </c>
      <c r="AJ8" s="0" t="s">
        <v>212</v>
      </c>
    </row>
    <row r="9" customFormat="false" ht="15" hidden="false" customHeight="false" outlineLevel="0" collapsed="false">
      <c r="C9" s="0" t="s">
        <v>14</v>
      </c>
      <c r="D9" s="0" t="s">
        <v>14</v>
      </c>
      <c r="H9" s="0" t="s">
        <v>777</v>
      </c>
      <c r="I9" s="0" t="s">
        <v>276</v>
      </c>
      <c r="J9" s="0" t="s">
        <v>774</v>
      </c>
      <c r="K9" s="0" t="s">
        <v>778</v>
      </c>
      <c r="M9" s="0" t="n">
        <v>6</v>
      </c>
      <c r="P9" s="0" t="n">
        <f aca="false">T9</f>
        <v>100205</v>
      </c>
      <c r="Q9" s="0" t="s">
        <v>774</v>
      </c>
      <c r="R9" s="0" t="s">
        <v>779</v>
      </c>
      <c r="S9" s="0" t="n">
        <v>100205</v>
      </c>
      <c r="T9" s="0" t="n">
        <v>100205</v>
      </c>
      <c r="U9" s="0" t="s">
        <v>780</v>
      </c>
      <c r="Y9" s="0" t="s">
        <v>480</v>
      </c>
      <c r="Z9" s="0" t="s">
        <v>781</v>
      </c>
      <c r="AA9" s="0" t="n">
        <v>61006</v>
      </c>
      <c r="AC9" s="0" t="s">
        <v>256</v>
      </c>
      <c r="AD9" s="0" t="n">
        <v>400</v>
      </c>
      <c r="AE9" s="0" t="s">
        <v>756</v>
      </c>
      <c r="AH9" s="0" t="s">
        <v>398</v>
      </c>
      <c r="AI9" s="0" t="s">
        <v>782</v>
      </c>
      <c r="AJ9" s="0" t="s">
        <v>212</v>
      </c>
    </row>
    <row r="10" customFormat="false" ht="15" hidden="false" customHeight="false" outlineLevel="0" collapsed="false">
      <c r="C10" s="0" t="s">
        <v>15</v>
      </c>
      <c r="D10" s="0" t="s">
        <v>783</v>
      </c>
      <c r="H10" s="0" t="s">
        <v>754</v>
      </c>
      <c r="I10" s="0" t="s">
        <v>290</v>
      </c>
      <c r="J10" s="0" t="s">
        <v>774</v>
      </c>
      <c r="K10" s="0" t="s">
        <v>784</v>
      </c>
      <c r="M10" s="0" t="n">
        <v>7</v>
      </c>
      <c r="P10" s="0" t="n">
        <f aca="false">T10</f>
        <v>100206</v>
      </c>
      <c r="Q10" s="0" t="s">
        <v>774</v>
      </c>
      <c r="R10" s="0" t="s">
        <v>779</v>
      </c>
      <c r="S10" s="0" t="n">
        <v>100205</v>
      </c>
      <c r="T10" s="0" t="n">
        <v>100206</v>
      </c>
      <c r="U10" s="0" t="s">
        <v>780</v>
      </c>
      <c r="Y10" s="0" t="s">
        <v>218</v>
      </c>
      <c r="Z10" s="0" t="s">
        <v>785</v>
      </c>
      <c r="AA10" s="0" t="n">
        <v>61007</v>
      </c>
      <c r="AC10" s="0" t="s">
        <v>647</v>
      </c>
      <c r="AD10" s="0" t="n">
        <v>450</v>
      </c>
      <c r="AE10" s="0" t="s">
        <v>756</v>
      </c>
      <c r="AH10" s="0" t="s">
        <v>450</v>
      </c>
      <c r="AI10" s="0" t="s">
        <v>786</v>
      </c>
      <c r="AJ10" s="0" t="s">
        <v>212</v>
      </c>
    </row>
    <row r="11" customFormat="false" ht="15" hidden="false" customHeight="false" outlineLevel="0" collapsed="false">
      <c r="C11" s="0" t="s">
        <v>16</v>
      </c>
      <c r="D11" s="0" t="s">
        <v>787</v>
      </c>
      <c r="H11" s="0" t="s">
        <v>760</v>
      </c>
      <c r="I11" s="0" t="s">
        <v>294</v>
      </c>
      <c r="J11" s="0" t="s">
        <v>778</v>
      </c>
      <c r="K11" s="0" t="s">
        <v>788</v>
      </c>
      <c r="M11" s="0" t="n">
        <v>8</v>
      </c>
      <c r="P11" s="0" t="n">
        <f aca="false">T11</f>
        <v>100207</v>
      </c>
      <c r="Q11" s="0" t="s">
        <v>778</v>
      </c>
      <c r="R11" s="0" t="s">
        <v>294</v>
      </c>
      <c r="S11" s="0" t="n">
        <v>100207</v>
      </c>
      <c r="T11" s="0" t="n">
        <v>100207</v>
      </c>
      <c r="U11" s="0" t="s">
        <v>780</v>
      </c>
      <c r="Y11" s="0" t="s">
        <v>277</v>
      </c>
      <c r="Z11" s="0" t="s">
        <v>789</v>
      </c>
      <c r="AA11" s="0" t="n">
        <v>61008</v>
      </c>
      <c r="AC11" s="0" t="s">
        <v>210</v>
      </c>
      <c r="AD11" s="0" t="n">
        <v>500</v>
      </c>
      <c r="AE11" s="0" t="s">
        <v>756</v>
      </c>
    </row>
    <row r="12" customFormat="false" ht="15" hidden="false" customHeight="false" outlineLevel="0" collapsed="false">
      <c r="C12" s="0" t="s">
        <v>20</v>
      </c>
      <c r="D12" s="0" t="s">
        <v>790</v>
      </c>
      <c r="H12" s="0" t="s">
        <v>791</v>
      </c>
      <c r="I12" s="0" t="s">
        <v>305</v>
      </c>
      <c r="J12" s="0" t="s">
        <v>784</v>
      </c>
      <c r="K12" s="0" t="s">
        <v>792</v>
      </c>
      <c r="M12" s="0" t="n">
        <v>9</v>
      </c>
      <c r="P12" s="0" t="n">
        <f aca="false">T12</f>
        <v>100208</v>
      </c>
      <c r="Q12" s="0" t="s">
        <v>784</v>
      </c>
      <c r="R12" s="0" t="s">
        <v>305</v>
      </c>
      <c r="S12" s="0" t="n">
        <v>100208</v>
      </c>
      <c r="T12" s="0" t="n">
        <v>100208</v>
      </c>
      <c r="U12" s="0" t="s">
        <v>793</v>
      </c>
      <c r="Y12" s="0" t="s">
        <v>243</v>
      </c>
      <c r="Z12" s="0" t="s">
        <v>794</v>
      </c>
      <c r="AA12" s="0" t="n">
        <v>61009</v>
      </c>
      <c r="AC12" s="0" t="s">
        <v>209</v>
      </c>
      <c r="AD12" s="0" t="n">
        <v>550</v>
      </c>
      <c r="AE12" s="0" t="s">
        <v>756</v>
      </c>
    </row>
    <row r="13" customFormat="false" ht="15" hidden="false" customHeight="false" outlineLevel="0" collapsed="false">
      <c r="C13" s="0" t="s">
        <v>23</v>
      </c>
      <c r="D13" s="0" t="s">
        <v>23</v>
      </c>
      <c r="H13" s="0" t="s">
        <v>795</v>
      </c>
      <c r="I13" s="0" t="s">
        <v>320</v>
      </c>
      <c r="J13" s="0" t="s">
        <v>788</v>
      </c>
      <c r="K13" s="0" t="s">
        <v>796</v>
      </c>
      <c r="M13" s="0" t="n">
        <v>10</v>
      </c>
      <c r="P13" s="0" t="n">
        <f aca="false">T13</f>
        <v>100209</v>
      </c>
      <c r="Q13" s="0" t="s">
        <v>788</v>
      </c>
      <c r="R13" s="0" t="s">
        <v>320</v>
      </c>
      <c r="S13" s="0" t="n">
        <v>100209</v>
      </c>
      <c r="T13" s="0" t="n">
        <v>100209</v>
      </c>
      <c r="U13" s="0" t="s">
        <v>793</v>
      </c>
      <c r="Y13" s="0" t="s">
        <v>461</v>
      </c>
      <c r="Z13" s="0" t="s">
        <v>797</v>
      </c>
      <c r="AA13" s="0" t="n">
        <v>61010</v>
      </c>
      <c r="AC13" s="0" t="s">
        <v>239</v>
      </c>
      <c r="AD13" s="0" t="n">
        <v>600</v>
      </c>
      <c r="AE13" s="0" t="s">
        <v>756</v>
      </c>
    </row>
    <row r="14" customFormat="false" ht="15" hidden="false" customHeight="false" outlineLevel="0" collapsed="false">
      <c r="C14" s="0" t="s">
        <v>24</v>
      </c>
      <c r="D14" s="0" t="s">
        <v>798</v>
      </c>
      <c r="H14" s="0" t="s">
        <v>757</v>
      </c>
      <c r="I14" s="0" t="s">
        <v>334</v>
      </c>
      <c r="J14" s="0" t="s">
        <v>792</v>
      </c>
      <c r="K14" s="0" t="s">
        <v>799</v>
      </c>
      <c r="M14" s="0" t="n">
        <v>11</v>
      </c>
      <c r="P14" s="0" t="n">
        <f aca="false">T14</f>
        <v>100210</v>
      </c>
      <c r="Q14" s="0" t="s">
        <v>792</v>
      </c>
      <c r="R14" s="0" t="s">
        <v>334</v>
      </c>
      <c r="S14" s="0" t="n">
        <v>100210</v>
      </c>
      <c r="T14" s="0" t="n">
        <v>100210</v>
      </c>
      <c r="U14" s="0" t="s">
        <v>800</v>
      </c>
      <c r="Y14" s="0" t="s">
        <v>421</v>
      </c>
      <c r="Z14" s="0" t="s">
        <v>791</v>
      </c>
      <c r="AA14" s="0" t="n">
        <v>61011</v>
      </c>
      <c r="AC14" s="0" t="s">
        <v>409</v>
      </c>
      <c r="AD14" s="0" t="n">
        <v>700</v>
      </c>
      <c r="AE14" s="0" t="s">
        <v>756</v>
      </c>
    </row>
    <row r="15" customFormat="false" ht="15" hidden="false" customHeight="false" outlineLevel="0" collapsed="false">
      <c r="C15" s="0" t="s">
        <v>25</v>
      </c>
      <c r="D15" s="0" t="s">
        <v>801</v>
      </c>
      <c r="H15" s="0" t="s">
        <v>762</v>
      </c>
      <c r="I15" s="0" t="s">
        <v>344</v>
      </c>
      <c r="J15" s="0" t="s">
        <v>796</v>
      </c>
      <c r="K15" s="0" t="s">
        <v>802</v>
      </c>
      <c r="M15" s="0" t="n">
        <v>12</v>
      </c>
      <c r="P15" s="0" t="n">
        <f aca="false">T15</f>
        <v>100211</v>
      </c>
      <c r="Q15" s="0" t="s">
        <v>796</v>
      </c>
      <c r="R15" s="0" t="s">
        <v>344</v>
      </c>
      <c r="S15" s="0" t="n">
        <v>100211</v>
      </c>
      <c r="T15" s="0" t="n">
        <v>100211</v>
      </c>
      <c r="U15" s="0" t="s">
        <v>800</v>
      </c>
      <c r="Y15" s="0" t="s">
        <v>332</v>
      </c>
      <c r="Z15" s="0" t="s">
        <v>795</v>
      </c>
      <c r="AA15" s="0" t="n">
        <v>61012</v>
      </c>
      <c r="AC15" s="0" t="s">
        <v>354</v>
      </c>
      <c r="AD15" s="0" t="n">
        <v>750</v>
      </c>
      <c r="AE15" s="0" t="s">
        <v>756</v>
      </c>
    </row>
    <row r="16" customFormat="false" ht="15" hidden="false" customHeight="false" outlineLevel="0" collapsed="false">
      <c r="C16" s="0" t="s">
        <v>27</v>
      </c>
      <c r="D16" s="0" t="s">
        <v>803</v>
      </c>
      <c r="I16" s="0" t="s">
        <v>355</v>
      </c>
      <c r="J16" s="0" t="s">
        <v>799</v>
      </c>
      <c r="K16" s="0" t="s">
        <v>804</v>
      </c>
      <c r="M16" s="0" t="n">
        <v>13</v>
      </c>
      <c r="P16" s="0" t="n">
        <f aca="false">T16</f>
        <v>100212</v>
      </c>
      <c r="Q16" s="0" t="s">
        <v>799</v>
      </c>
      <c r="R16" s="0" t="s">
        <v>355</v>
      </c>
      <c r="S16" s="0" t="n">
        <v>100212</v>
      </c>
      <c r="T16" s="0" t="n">
        <v>100212</v>
      </c>
      <c r="U16" s="0" t="s">
        <v>805</v>
      </c>
      <c r="Y16" s="0" t="s">
        <v>260</v>
      </c>
      <c r="Z16" s="0" t="s">
        <v>806</v>
      </c>
      <c r="AA16" s="0" t="n">
        <v>61013</v>
      </c>
      <c r="AC16" s="0" t="s">
        <v>289</v>
      </c>
      <c r="AD16" s="0" t="n">
        <v>800</v>
      </c>
      <c r="AE16" s="0" t="s">
        <v>756</v>
      </c>
    </row>
    <row r="17" customFormat="false" ht="15" hidden="false" customHeight="false" outlineLevel="0" collapsed="false">
      <c r="C17" s="0" t="s">
        <v>34</v>
      </c>
      <c r="D17" s="0" t="s">
        <v>807</v>
      </c>
      <c r="I17" s="0" t="s">
        <v>365</v>
      </c>
      <c r="J17" s="0" t="s">
        <v>802</v>
      </c>
      <c r="K17" s="0" t="s">
        <v>808</v>
      </c>
      <c r="M17" s="0" t="n">
        <v>14</v>
      </c>
      <c r="P17" s="0" t="n">
        <f aca="false">T17</f>
        <v>100213</v>
      </c>
      <c r="Q17" s="0" t="s">
        <v>802</v>
      </c>
      <c r="R17" s="0" t="s">
        <v>809</v>
      </c>
      <c r="S17" s="0" t="n">
        <v>100213</v>
      </c>
      <c r="T17" s="0" t="n">
        <v>100213</v>
      </c>
      <c r="U17" s="0" t="s">
        <v>805</v>
      </c>
      <c r="Y17" s="0" t="s">
        <v>241</v>
      </c>
      <c r="Z17" s="0" t="s">
        <v>810</v>
      </c>
      <c r="AA17" s="0" t="n">
        <v>61014</v>
      </c>
      <c r="AC17" s="0" t="s">
        <v>811</v>
      </c>
      <c r="AD17" s="0" t="n">
        <v>850</v>
      </c>
      <c r="AE17" s="0" t="s">
        <v>756</v>
      </c>
    </row>
    <row r="18" customFormat="false" ht="15" hidden="false" customHeight="false" outlineLevel="0" collapsed="false">
      <c r="C18" s="0" t="s">
        <v>35</v>
      </c>
      <c r="D18" s="0" t="s">
        <v>812</v>
      </c>
      <c r="I18" s="0" t="s">
        <v>375</v>
      </c>
      <c r="J18" s="0" t="s">
        <v>802</v>
      </c>
      <c r="K18" s="0" t="s">
        <v>813</v>
      </c>
      <c r="M18" s="0" t="n">
        <v>15</v>
      </c>
      <c r="P18" s="0" t="n">
        <f aca="false">T18</f>
        <v>100214</v>
      </c>
      <c r="Q18" s="0" t="s">
        <v>802</v>
      </c>
      <c r="R18" s="0" t="s">
        <v>809</v>
      </c>
      <c r="S18" s="0" t="n">
        <v>100213</v>
      </c>
      <c r="T18" s="0" t="n">
        <v>100214</v>
      </c>
      <c r="U18" s="0" t="s">
        <v>805</v>
      </c>
      <c r="Y18" s="0" t="s">
        <v>215</v>
      </c>
      <c r="Z18" s="0" t="s">
        <v>814</v>
      </c>
      <c r="AA18" s="0" t="n">
        <v>61015</v>
      </c>
      <c r="AC18" s="0" t="s">
        <v>815</v>
      </c>
      <c r="AD18" s="0" t="n">
        <v>900</v>
      </c>
      <c r="AE18" s="0" t="s">
        <v>756</v>
      </c>
    </row>
    <row r="19" customFormat="false" ht="15" hidden="false" customHeight="false" outlineLevel="0" collapsed="false">
      <c r="C19" s="0" t="s">
        <v>60</v>
      </c>
      <c r="D19" s="0" t="s">
        <v>816</v>
      </c>
      <c r="I19" s="0" t="s">
        <v>379</v>
      </c>
      <c r="J19" s="0" t="s">
        <v>804</v>
      </c>
      <c r="K19" s="0" t="s">
        <v>817</v>
      </c>
      <c r="M19" s="0" t="n">
        <v>16</v>
      </c>
      <c r="P19" s="0" t="n">
        <f aca="false">T19</f>
        <v>100215</v>
      </c>
      <c r="Q19" s="0" t="s">
        <v>804</v>
      </c>
      <c r="R19" s="0" t="s">
        <v>379</v>
      </c>
      <c r="S19" s="0" t="n">
        <v>100215</v>
      </c>
      <c r="T19" s="0" t="n">
        <v>100215</v>
      </c>
      <c r="U19" s="0" t="s">
        <v>818</v>
      </c>
      <c r="Y19" s="0" t="s">
        <v>343</v>
      </c>
      <c r="Z19" s="0" t="s">
        <v>819</v>
      </c>
      <c r="AA19" s="0" t="n">
        <v>61016</v>
      </c>
      <c r="AC19" s="0" t="s">
        <v>820</v>
      </c>
      <c r="AD19" s="0" t="n">
        <v>950</v>
      </c>
      <c r="AE19" s="0" t="s">
        <v>756</v>
      </c>
    </row>
    <row r="20" customFormat="false" ht="15" hidden="false" customHeight="false" outlineLevel="0" collapsed="false">
      <c r="C20" s="0" t="s">
        <v>43</v>
      </c>
      <c r="D20" s="0" t="s">
        <v>43</v>
      </c>
      <c r="I20" s="0" t="s">
        <v>389</v>
      </c>
      <c r="J20" s="0" t="s">
        <v>808</v>
      </c>
      <c r="K20" s="0" t="s">
        <v>821</v>
      </c>
      <c r="M20" s="0" t="n">
        <v>17</v>
      </c>
      <c r="P20" s="0" t="n">
        <f aca="false">T20</f>
        <v>100216</v>
      </c>
      <c r="Q20" s="0" t="s">
        <v>808</v>
      </c>
      <c r="R20" s="0" t="s">
        <v>389</v>
      </c>
      <c r="S20" s="0" t="n">
        <v>100216</v>
      </c>
      <c r="T20" s="0" t="n">
        <v>100216</v>
      </c>
      <c r="U20" s="0" t="s">
        <v>818</v>
      </c>
      <c r="Y20" s="0" t="s">
        <v>274</v>
      </c>
      <c r="Z20" s="0" t="s">
        <v>822</v>
      </c>
      <c r="AA20" s="0" t="n">
        <v>61017</v>
      </c>
      <c r="AC20" s="0" t="s">
        <v>823</v>
      </c>
      <c r="AD20" s="0" t="n">
        <v>1000</v>
      </c>
      <c r="AE20" s="0" t="s">
        <v>756</v>
      </c>
    </row>
    <row r="21" customFormat="false" ht="15" hidden="false" customHeight="false" outlineLevel="0" collapsed="false">
      <c r="C21" s="0" t="s">
        <v>44</v>
      </c>
      <c r="D21" s="0" t="s">
        <v>44</v>
      </c>
      <c r="I21" s="0" t="s">
        <v>399</v>
      </c>
      <c r="J21" s="0" t="s">
        <v>813</v>
      </c>
      <c r="K21" s="0" t="s">
        <v>824</v>
      </c>
      <c r="M21" s="0" t="n">
        <v>18</v>
      </c>
      <c r="P21" s="0" t="n">
        <f aca="false">T21</f>
        <v>100217</v>
      </c>
      <c r="Q21" s="0" t="s">
        <v>813</v>
      </c>
      <c r="R21" s="0" t="s">
        <v>399</v>
      </c>
      <c r="S21" s="0" t="n">
        <v>100217</v>
      </c>
      <c r="T21" s="0" t="n">
        <v>100217</v>
      </c>
      <c r="U21" s="0" t="s">
        <v>825</v>
      </c>
      <c r="Y21" s="0" t="s">
        <v>258</v>
      </c>
      <c r="Z21" s="0" t="s">
        <v>826</v>
      </c>
      <c r="AA21" s="0" t="n">
        <v>61018</v>
      </c>
      <c r="AC21" s="0" t="s">
        <v>827</v>
      </c>
      <c r="AD21" s="0" t="n">
        <v>1050</v>
      </c>
      <c r="AE21" s="0" t="s">
        <v>756</v>
      </c>
    </row>
    <row r="22" customFormat="false" ht="15" hidden="false" customHeight="false" outlineLevel="0" collapsed="false">
      <c r="C22" s="0" t="s">
        <v>47</v>
      </c>
      <c r="D22" s="0" t="s">
        <v>828</v>
      </c>
      <c r="I22" s="0" t="s">
        <v>410</v>
      </c>
      <c r="J22" s="0" t="s">
        <v>817</v>
      </c>
      <c r="K22" s="0" t="s">
        <v>829</v>
      </c>
      <c r="M22" s="0" t="n">
        <v>19</v>
      </c>
      <c r="P22" s="0" t="n">
        <f aca="false">T22</f>
        <v>100218</v>
      </c>
      <c r="Q22" s="0" t="s">
        <v>817</v>
      </c>
      <c r="R22" s="0" t="s">
        <v>410</v>
      </c>
      <c r="S22" s="0" t="n">
        <v>100218</v>
      </c>
      <c r="T22" s="0" t="n">
        <v>100218</v>
      </c>
      <c r="U22" s="0" t="s">
        <v>825</v>
      </c>
      <c r="Y22" s="0" t="s">
        <v>223</v>
      </c>
      <c r="Z22" s="0" t="s">
        <v>830</v>
      </c>
      <c r="AA22" s="0" t="n">
        <v>61019</v>
      </c>
      <c r="AC22" s="0" t="s">
        <v>831</v>
      </c>
      <c r="AD22" s="0" t="n">
        <v>100</v>
      </c>
      <c r="AE22" s="0" t="s">
        <v>832</v>
      </c>
    </row>
    <row r="23" customFormat="false" ht="15" hidden="false" customHeight="false" outlineLevel="0" collapsed="false">
      <c r="C23" s="0" t="s">
        <v>51</v>
      </c>
      <c r="D23" s="0" t="s">
        <v>51</v>
      </c>
      <c r="I23" s="0" t="s">
        <v>422</v>
      </c>
      <c r="J23" s="0" t="s">
        <v>821</v>
      </c>
      <c r="K23" s="0" t="s">
        <v>833</v>
      </c>
      <c r="M23" s="0" t="n">
        <v>20</v>
      </c>
      <c r="P23" s="0" t="n">
        <f aca="false">T23</f>
        <v>100219</v>
      </c>
      <c r="Q23" s="0" t="s">
        <v>821</v>
      </c>
      <c r="R23" s="0" t="s">
        <v>422</v>
      </c>
      <c r="S23" s="0" t="n">
        <v>100219</v>
      </c>
      <c r="T23" s="0" t="n">
        <v>100219</v>
      </c>
      <c r="U23" s="0" t="s">
        <v>834</v>
      </c>
      <c r="Y23" s="0" t="s">
        <v>293</v>
      </c>
      <c r="Z23" s="0" t="s">
        <v>835</v>
      </c>
      <c r="AA23" s="0" t="n">
        <v>61020</v>
      </c>
      <c r="AC23" s="0" t="s">
        <v>836</v>
      </c>
      <c r="AD23" s="0" t="n">
        <v>200</v>
      </c>
      <c r="AE23" s="0" t="s">
        <v>832</v>
      </c>
    </row>
    <row r="24" customFormat="false" ht="15" hidden="false" customHeight="false" outlineLevel="0" collapsed="false">
      <c r="C24" s="0" t="s">
        <v>61</v>
      </c>
      <c r="D24" s="0" t="s">
        <v>61</v>
      </c>
      <c r="I24" s="0" t="s">
        <v>430</v>
      </c>
      <c r="J24" s="0" t="s">
        <v>824</v>
      </c>
      <c r="K24" s="0" t="s">
        <v>837</v>
      </c>
      <c r="M24" s="0" t="n">
        <v>21</v>
      </c>
      <c r="P24" s="0" t="n">
        <f aca="false">T24</f>
        <v>100220</v>
      </c>
      <c r="Q24" s="0" t="s">
        <v>824</v>
      </c>
      <c r="R24" s="0" t="s">
        <v>430</v>
      </c>
      <c r="S24" s="0" t="n">
        <v>100220</v>
      </c>
      <c r="T24" s="0" t="n">
        <v>100220</v>
      </c>
      <c r="U24" s="0" t="s">
        <v>834</v>
      </c>
      <c r="Y24" s="0" t="s">
        <v>214</v>
      </c>
      <c r="Z24" s="0" t="s">
        <v>757</v>
      </c>
      <c r="AA24" s="0" t="n">
        <v>61021</v>
      </c>
      <c r="AC24" s="0" t="s">
        <v>838</v>
      </c>
      <c r="AD24" s="0" t="n">
        <v>250</v>
      </c>
      <c r="AE24" s="0" t="s">
        <v>832</v>
      </c>
    </row>
    <row r="25" customFormat="false" ht="15" hidden="false" customHeight="false" outlineLevel="0" collapsed="false">
      <c r="C25" s="0" t="s">
        <v>62</v>
      </c>
      <c r="D25" s="0" t="s">
        <v>62</v>
      </c>
      <c r="I25" s="0" t="s">
        <v>442</v>
      </c>
      <c r="J25" s="0" t="s">
        <v>829</v>
      </c>
      <c r="K25" s="0" t="s">
        <v>839</v>
      </c>
      <c r="M25" s="0" t="n">
        <v>22</v>
      </c>
      <c r="P25" s="0" t="n">
        <f aca="false">T25</f>
        <v>100221</v>
      </c>
      <c r="Q25" s="0" t="s">
        <v>829</v>
      </c>
      <c r="R25" s="0" t="s">
        <v>442</v>
      </c>
      <c r="S25" s="0" t="n">
        <v>100221</v>
      </c>
      <c r="T25" s="0" t="n">
        <v>100221</v>
      </c>
      <c r="U25" s="0" t="s">
        <v>840</v>
      </c>
      <c r="Y25" s="0" t="s">
        <v>273</v>
      </c>
      <c r="Z25" s="0" t="s">
        <v>762</v>
      </c>
      <c r="AA25" s="0" t="n">
        <v>61022</v>
      </c>
      <c r="AC25" s="0" t="s">
        <v>841</v>
      </c>
      <c r="AD25" s="0" t="n">
        <v>300</v>
      </c>
      <c r="AE25" s="0" t="s">
        <v>832</v>
      </c>
    </row>
    <row r="26" customFormat="false" ht="15" hidden="false" customHeight="false" outlineLevel="0" collapsed="false">
      <c r="C26" s="0" t="s">
        <v>65</v>
      </c>
      <c r="D26" s="0" t="s">
        <v>65</v>
      </c>
      <c r="I26" s="0" t="s">
        <v>451</v>
      </c>
      <c r="J26" s="0" t="s">
        <v>833</v>
      </c>
      <c r="K26" s="0" t="s">
        <v>842</v>
      </c>
      <c r="M26" s="0" t="n">
        <v>23</v>
      </c>
      <c r="P26" s="0" t="n">
        <f aca="false">T26</f>
        <v>100222</v>
      </c>
      <c r="Q26" s="0" t="s">
        <v>833</v>
      </c>
      <c r="R26" s="0" t="s">
        <v>451</v>
      </c>
      <c r="S26" s="0" t="n">
        <v>100222</v>
      </c>
      <c r="T26" s="0" t="n">
        <v>100222</v>
      </c>
      <c r="U26" s="0" t="s">
        <v>840</v>
      </c>
      <c r="Y26" s="0" t="s">
        <v>221</v>
      </c>
      <c r="Z26" s="0" t="s">
        <v>767</v>
      </c>
      <c r="AA26" s="0" t="n">
        <v>61023</v>
      </c>
      <c r="AC26" s="0" t="s">
        <v>843</v>
      </c>
      <c r="AD26" s="0" t="n">
        <v>350</v>
      </c>
      <c r="AE26" s="0" t="s">
        <v>832</v>
      </c>
    </row>
    <row r="27" customFormat="false" ht="15" hidden="false" customHeight="false" outlineLevel="0" collapsed="false">
      <c r="C27" s="0" t="s">
        <v>75</v>
      </c>
      <c r="D27" s="0" t="s">
        <v>844</v>
      </c>
      <c r="I27" s="0" t="s">
        <v>462</v>
      </c>
      <c r="J27" s="0" t="s">
        <v>837</v>
      </c>
      <c r="K27" s="0" t="s">
        <v>845</v>
      </c>
      <c r="M27" s="0" t="n">
        <v>24</v>
      </c>
      <c r="P27" s="0" t="n">
        <f aca="false">T27</f>
        <v>100223</v>
      </c>
      <c r="Q27" s="0" t="s">
        <v>837</v>
      </c>
      <c r="R27" s="0" t="s">
        <v>462</v>
      </c>
      <c r="S27" s="0" t="n">
        <v>100223</v>
      </c>
      <c r="T27" s="0" t="n">
        <v>100223</v>
      </c>
      <c r="U27" s="0" t="s">
        <v>846</v>
      </c>
      <c r="Y27" s="0" t="s">
        <v>183</v>
      </c>
      <c r="Z27" s="0" t="s">
        <v>772</v>
      </c>
      <c r="AA27" s="0" t="n">
        <v>61024</v>
      </c>
      <c r="AC27" s="0" t="s">
        <v>847</v>
      </c>
      <c r="AD27" s="0" t="n">
        <v>400</v>
      </c>
      <c r="AE27" s="0" t="s">
        <v>832</v>
      </c>
    </row>
    <row r="28" customFormat="false" ht="15" hidden="false" customHeight="false" outlineLevel="0" collapsed="false">
      <c r="C28" s="0" t="s">
        <v>76</v>
      </c>
      <c r="D28" s="0" t="s">
        <v>76</v>
      </c>
      <c r="I28" s="0" t="s">
        <v>471</v>
      </c>
      <c r="J28" s="0" t="s">
        <v>839</v>
      </c>
      <c r="K28" s="0" t="s">
        <v>848</v>
      </c>
      <c r="M28" s="0" t="n">
        <v>25</v>
      </c>
      <c r="P28" s="0" t="n">
        <f aca="false">T28</f>
        <v>100224</v>
      </c>
      <c r="Q28" s="0" t="s">
        <v>839</v>
      </c>
      <c r="R28" s="0" t="s">
        <v>471</v>
      </c>
      <c r="S28" s="0" t="n">
        <v>100224</v>
      </c>
      <c r="T28" s="0" t="n">
        <v>100224</v>
      </c>
      <c r="U28" s="0" t="s">
        <v>846</v>
      </c>
      <c r="Y28" s="0" t="s">
        <v>319</v>
      </c>
      <c r="Z28" s="0" t="s">
        <v>776</v>
      </c>
      <c r="AA28" s="0" t="n">
        <v>61025</v>
      </c>
      <c r="AC28" s="0" t="s">
        <v>849</v>
      </c>
      <c r="AD28" s="0" t="n">
        <v>450</v>
      </c>
      <c r="AE28" s="0" t="s">
        <v>832</v>
      </c>
    </row>
    <row r="29" customFormat="false" ht="15" hidden="false" customHeight="false" outlineLevel="0" collapsed="false">
      <c r="C29" s="0" t="s">
        <v>79</v>
      </c>
      <c r="D29" s="0" t="s">
        <v>850</v>
      </c>
      <c r="I29" s="0" t="s">
        <v>481</v>
      </c>
      <c r="J29" s="0" t="s">
        <v>842</v>
      </c>
      <c r="K29" s="0" t="s">
        <v>851</v>
      </c>
      <c r="M29" s="0" t="n">
        <v>26</v>
      </c>
      <c r="P29" s="0" t="n">
        <f aca="false">T29</f>
        <v>100225</v>
      </c>
      <c r="Q29" s="0" t="s">
        <v>842</v>
      </c>
      <c r="R29" s="0" t="s">
        <v>481</v>
      </c>
      <c r="S29" s="0" t="n">
        <v>100225</v>
      </c>
      <c r="T29" s="0" t="n">
        <v>100225</v>
      </c>
      <c r="U29" s="0" t="s">
        <v>852</v>
      </c>
      <c r="Y29" s="0" t="s">
        <v>398</v>
      </c>
      <c r="Z29" s="0" t="s">
        <v>782</v>
      </c>
      <c r="AA29" s="0" t="n">
        <v>61026</v>
      </c>
      <c r="AC29" s="0" t="s">
        <v>853</v>
      </c>
      <c r="AD29" s="0" t="n">
        <v>500</v>
      </c>
      <c r="AE29" s="0" t="s">
        <v>832</v>
      </c>
    </row>
    <row r="30" customFormat="false" ht="15" hidden="false" customHeight="false" outlineLevel="0" collapsed="false">
      <c r="C30" s="0" t="s">
        <v>80</v>
      </c>
      <c r="D30" s="0" t="s">
        <v>854</v>
      </c>
      <c r="I30" s="0" t="s">
        <v>490</v>
      </c>
      <c r="J30" s="0" t="s">
        <v>845</v>
      </c>
      <c r="K30" s="0" t="s">
        <v>855</v>
      </c>
      <c r="M30" s="0" t="n">
        <v>27</v>
      </c>
      <c r="P30" s="0" t="n">
        <f aca="false">T30</f>
        <v>100226</v>
      </c>
      <c r="Q30" s="0" t="s">
        <v>845</v>
      </c>
      <c r="R30" s="0" t="s">
        <v>856</v>
      </c>
      <c r="S30" s="0" t="n">
        <v>100226</v>
      </c>
      <c r="T30" s="0" t="n">
        <v>100226</v>
      </c>
      <c r="U30" s="0" t="s">
        <v>852</v>
      </c>
      <c r="Y30" s="0" t="s">
        <v>450</v>
      </c>
      <c r="Z30" s="0" t="s">
        <v>786</v>
      </c>
      <c r="AA30" s="0" t="n">
        <v>61027</v>
      </c>
      <c r="AC30" s="0" t="s">
        <v>240</v>
      </c>
      <c r="AD30" s="0" t="n">
        <v>550</v>
      </c>
      <c r="AE30" s="0" t="s">
        <v>832</v>
      </c>
    </row>
    <row r="31" customFormat="false" ht="15" hidden="false" customHeight="false" outlineLevel="0" collapsed="false">
      <c r="C31" s="0" t="s">
        <v>81</v>
      </c>
      <c r="D31" s="0" t="s">
        <v>857</v>
      </c>
      <c r="I31" s="0" t="s">
        <v>500</v>
      </c>
      <c r="J31" s="0" t="s">
        <v>845</v>
      </c>
      <c r="K31" s="0" t="s">
        <v>858</v>
      </c>
      <c r="M31" s="0" t="n">
        <v>28</v>
      </c>
      <c r="P31" s="0" t="n">
        <f aca="false">T31</f>
        <v>100227</v>
      </c>
      <c r="Q31" s="0" t="s">
        <v>845</v>
      </c>
      <c r="R31" s="0" t="s">
        <v>856</v>
      </c>
      <c r="S31" s="0" t="n">
        <v>100226</v>
      </c>
      <c r="T31" s="0" t="n">
        <v>100227</v>
      </c>
      <c r="U31" s="0" t="s">
        <v>852</v>
      </c>
      <c r="AC31" s="0" t="s">
        <v>304</v>
      </c>
      <c r="AD31" s="0" t="n">
        <v>600</v>
      </c>
      <c r="AE31" s="0" t="s">
        <v>832</v>
      </c>
    </row>
    <row r="32" customFormat="false" ht="15" hidden="false" customHeight="false" outlineLevel="0" collapsed="false">
      <c r="C32" s="0" t="s">
        <v>82</v>
      </c>
      <c r="D32" s="0" t="s">
        <v>859</v>
      </c>
      <c r="I32" s="0" t="s">
        <v>503</v>
      </c>
      <c r="J32" s="0" t="s">
        <v>848</v>
      </c>
      <c r="K32" s="0" t="s">
        <v>860</v>
      </c>
      <c r="M32" s="0" t="n">
        <v>29</v>
      </c>
      <c r="P32" s="0" t="n">
        <f aca="false">T32</f>
        <v>100228</v>
      </c>
      <c r="Q32" s="0" t="s">
        <v>848</v>
      </c>
      <c r="R32" s="0" t="s">
        <v>861</v>
      </c>
      <c r="S32" s="0" t="n">
        <v>100228</v>
      </c>
      <c r="T32" s="0" t="n">
        <v>100228</v>
      </c>
      <c r="U32" s="0" t="s">
        <v>862</v>
      </c>
      <c r="AC32" s="0" t="s">
        <v>863</v>
      </c>
      <c r="AD32" s="0" t="n">
        <v>700</v>
      </c>
      <c r="AE32" s="0" t="s">
        <v>832</v>
      </c>
    </row>
    <row r="33" customFormat="false" ht="15" hidden="false" customHeight="false" outlineLevel="0" collapsed="false">
      <c r="C33" s="0" t="s">
        <v>83</v>
      </c>
      <c r="D33" s="0" t="s">
        <v>832</v>
      </c>
      <c r="I33" s="0" t="s">
        <v>511</v>
      </c>
      <c r="J33" s="0" t="s">
        <v>848</v>
      </c>
      <c r="K33" s="0" t="s">
        <v>864</v>
      </c>
      <c r="M33" s="0" t="n">
        <v>30</v>
      </c>
      <c r="P33" s="0" t="n">
        <f aca="false">T33</f>
        <v>100229</v>
      </c>
      <c r="Q33" s="0" t="s">
        <v>848</v>
      </c>
      <c r="R33" s="0" t="s">
        <v>861</v>
      </c>
      <c r="S33" s="0" t="n">
        <v>100228</v>
      </c>
      <c r="T33" s="0" t="n">
        <v>100229</v>
      </c>
      <c r="U33" s="0" t="s">
        <v>862</v>
      </c>
      <c r="AC33" s="0" t="s">
        <v>865</v>
      </c>
      <c r="AD33" s="0" t="n">
        <v>750</v>
      </c>
      <c r="AE33" s="0" t="s">
        <v>832</v>
      </c>
    </row>
    <row r="34" customFormat="false" ht="15" hidden="false" customHeight="false" outlineLevel="0" collapsed="false">
      <c r="C34" s="0" t="s">
        <v>86</v>
      </c>
      <c r="D34" s="0" t="s">
        <v>866</v>
      </c>
      <c r="I34" s="0" t="s">
        <v>514</v>
      </c>
      <c r="J34" s="0" t="s">
        <v>851</v>
      </c>
      <c r="K34" s="0" t="s">
        <v>867</v>
      </c>
      <c r="M34" s="0" t="n">
        <v>31</v>
      </c>
      <c r="P34" s="0" t="n">
        <f aca="false">T34</f>
        <v>100230</v>
      </c>
      <c r="Q34" s="0" t="s">
        <v>851</v>
      </c>
      <c r="R34" s="0" t="s">
        <v>514</v>
      </c>
      <c r="S34" s="0" t="n">
        <v>100230</v>
      </c>
      <c r="T34" s="0" t="n">
        <v>100230</v>
      </c>
      <c r="U34" s="0" t="s">
        <v>862</v>
      </c>
      <c r="AC34" s="0" t="s">
        <v>868</v>
      </c>
      <c r="AD34" s="0" t="n">
        <v>800</v>
      </c>
      <c r="AE34" s="0" t="s">
        <v>832</v>
      </c>
    </row>
    <row r="35" customFormat="false" ht="15" hidden="false" customHeight="false" outlineLevel="0" collapsed="false">
      <c r="C35" s="0" t="s">
        <v>103</v>
      </c>
      <c r="D35" s="0" t="s">
        <v>869</v>
      </c>
      <c r="I35" s="0" t="s">
        <v>525</v>
      </c>
      <c r="J35" s="0" t="s">
        <v>855</v>
      </c>
      <c r="K35" s="0" t="s">
        <v>870</v>
      </c>
      <c r="M35" s="0" t="n">
        <v>32</v>
      </c>
      <c r="P35" s="0" t="n">
        <f aca="false">T35</f>
        <v>100231</v>
      </c>
      <c r="Q35" s="0" t="s">
        <v>855</v>
      </c>
      <c r="R35" s="0" t="s">
        <v>525</v>
      </c>
      <c r="S35" s="0" t="n">
        <v>100231</v>
      </c>
      <c r="T35" s="0" t="n">
        <v>100231</v>
      </c>
      <c r="U35" s="0" t="s">
        <v>871</v>
      </c>
      <c r="AC35" s="0" t="s">
        <v>872</v>
      </c>
      <c r="AD35" s="0" t="n">
        <v>850</v>
      </c>
      <c r="AE35" s="0" t="s">
        <v>832</v>
      </c>
    </row>
    <row r="36" customFormat="false" ht="15" hidden="false" customHeight="false" outlineLevel="0" collapsed="false">
      <c r="C36" s="0" t="s">
        <v>132</v>
      </c>
      <c r="D36" s="0" t="s">
        <v>873</v>
      </c>
      <c r="I36" s="0" t="s">
        <v>534</v>
      </c>
      <c r="J36" s="0" t="s">
        <v>858</v>
      </c>
      <c r="K36" s="0" t="s">
        <v>874</v>
      </c>
      <c r="M36" s="0" t="n">
        <v>33</v>
      </c>
      <c r="P36" s="0" t="n">
        <f aca="false">T36</f>
        <v>100232</v>
      </c>
      <c r="Q36" s="0" t="s">
        <v>858</v>
      </c>
      <c r="R36" s="0" t="s">
        <v>534</v>
      </c>
      <c r="S36" s="0" t="n">
        <v>100232</v>
      </c>
      <c r="T36" s="0" t="n">
        <v>100232</v>
      </c>
      <c r="U36" s="0" t="s">
        <v>871</v>
      </c>
      <c r="AC36" s="0" t="s">
        <v>875</v>
      </c>
      <c r="AD36" s="0" t="n">
        <v>900</v>
      </c>
      <c r="AE36" s="0" t="s">
        <v>832</v>
      </c>
    </row>
    <row r="37" customFormat="false" ht="15" hidden="false" customHeight="false" outlineLevel="0" collapsed="false">
      <c r="I37" s="0" t="s">
        <v>542</v>
      </c>
      <c r="J37" s="0" t="s">
        <v>860</v>
      </c>
      <c r="K37" s="0" t="s">
        <v>876</v>
      </c>
      <c r="M37" s="0" t="n">
        <v>34</v>
      </c>
      <c r="P37" s="0" t="n">
        <f aca="false">T37</f>
        <v>100233</v>
      </c>
      <c r="Q37" s="0" t="s">
        <v>860</v>
      </c>
      <c r="R37" s="0" t="s">
        <v>542</v>
      </c>
      <c r="S37" s="0" t="n">
        <v>100233</v>
      </c>
      <c r="T37" s="0" t="n">
        <v>100233</v>
      </c>
      <c r="U37" s="0" t="s">
        <v>877</v>
      </c>
      <c r="AC37" s="0" t="s">
        <v>878</v>
      </c>
      <c r="AD37" s="0" t="n">
        <v>950</v>
      </c>
      <c r="AE37" s="0" t="s">
        <v>832</v>
      </c>
    </row>
    <row r="38" customFormat="false" ht="15" hidden="false" customHeight="false" outlineLevel="0" collapsed="false">
      <c r="I38" s="0" t="s">
        <v>551</v>
      </c>
      <c r="J38" s="0" t="s">
        <v>864</v>
      </c>
      <c r="K38" s="0" t="s">
        <v>879</v>
      </c>
      <c r="M38" s="0" t="n">
        <v>35</v>
      </c>
      <c r="P38" s="0" t="n">
        <f aca="false">T38</f>
        <v>100234</v>
      </c>
      <c r="Q38" s="0" t="s">
        <v>864</v>
      </c>
      <c r="R38" s="0" t="s">
        <v>551</v>
      </c>
      <c r="S38" s="0" t="n">
        <v>100234</v>
      </c>
      <c r="T38" s="0" t="n">
        <v>100234</v>
      </c>
      <c r="U38" s="0" t="s">
        <v>877</v>
      </c>
      <c r="AC38" s="0" t="s">
        <v>880</v>
      </c>
      <c r="AD38" s="0" t="n">
        <v>1000</v>
      </c>
      <c r="AE38" s="0" t="s">
        <v>832</v>
      </c>
    </row>
    <row r="39" customFormat="false" ht="15" hidden="false" customHeight="false" outlineLevel="0" collapsed="false">
      <c r="I39" s="0" t="s">
        <v>559</v>
      </c>
      <c r="J39" s="0" t="s">
        <v>867</v>
      </c>
      <c r="K39" s="0" t="s">
        <v>881</v>
      </c>
      <c r="M39" s="0" t="n">
        <v>36</v>
      </c>
      <c r="P39" s="0" t="n">
        <f aca="false">T39</f>
        <v>100235</v>
      </c>
      <c r="Q39" s="0" t="s">
        <v>867</v>
      </c>
      <c r="R39" s="0" t="s">
        <v>559</v>
      </c>
      <c r="S39" s="0" t="n">
        <v>100235</v>
      </c>
      <c r="T39" s="0" t="n">
        <v>100235</v>
      </c>
      <c r="U39" s="0" t="s">
        <v>882</v>
      </c>
      <c r="AC39" s="0" t="s">
        <v>883</v>
      </c>
      <c r="AD39" s="0" t="n">
        <v>1050</v>
      </c>
      <c r="AE39" s="0" t="s">
        <v>832</v>
      </c>
    </row>
    <row r="40" customFormat="false" ht="15" hidden="false" customHeight="false" outlineLevel="0" collapsed="false">
      <c r="I40" s="0" t="s">
        <v>569</v>
      </c>
      <c r="J40" s="0" t="s">
        <v>870</v>
      </c>
      <c r="K40" s="0" t="s">
        <v>884</v>
      </c>
      <c r="M40" s="0" t="n">
        <v>37</v>
      </c>
      <c r="P40" s="0" t="n">
        <f aca="false">T40</f>
        <v>100236</v>
      </c>
      <c r="Q40" s="0" t="s">
        <v>870</v>
      </c>
      <c r="R40" s="0" t="s">
        <v>569</v>
      </c>
      <c r="S40" s="0" t="n">
        <v>100236</v>
      </c>
      <c r="T40" s="0" t="n">
        <v>100236</v>
      </c>
      <c r="U40" s="0" t="s">
        <v>882</v>
      </c>
      <c r="AC40" s="0" t="s">
        <v>211</v>
      </c>
      <c r="AD40" s="0" t="n">
        <v>0</v>
      </c>
      <c r="AE40" s="0" t="s">
        <v>885</v>
      </c>
    </row>
    <row r="41" customFormat="false" ht="15" hidden="false" customHeight="false" outlineLevel="0" collapsed="false">
      <c r="I41" s="0" t="s">
        <v>580</v>
      </c>
      <c r="J41" s="0" t="s">
        <v>874</v>
      </c>
      <c r="K41" s="0" t="s">
        <v>886</v>
      </c>
      <c r="M41" s="0" t="n">
        <v>38</v>
      </c>
      <c r="P41" s="0" t="n">
        <f aca="false">T41</f>
        <v>100237</v>
      </c>
      <c r="Q41" s="0" t="s">
        <v>874</v>
      </c>
      <c r="R41" s="0" t="s">
        <v>580</v>
      </c>
      <c r="S41" s="0" t="n">
        <v>100237</v>
      </c>
      <c r="T41" s="0" t="n">
        <v>100237</v>
      </c>
      <c r="U41" s="0" t="s">
        <v>887</v>
      </c>
    </row>
    <row r="42" customFormat="false" ht="15" hidden="false" customHeight="false" outlineLevel="0" collapsed="false">
      <c r="I42" s="0" t="s">
        <v>588</v>
      </c>
      <c r="J42" s="0" t="s">
        <v>876</v>
      </c>
      <c r="K42" s="0" t="s">
        <v>888</v>
      </c>
      <c r="M42" s="0" t="n">
        <v>39</v>
      </c>
      <c r="P42" s="0" t="n">
        <f aca="false">T42</f>
        <v>100238</v>
      </c>
      <c r="Q42" s="0" t="s">
        <v>876</v>
      </c>
      <c r="R42" s="0" t="s">
        <v>588</v>
      </c>
      <c r="S42" s="0" t="n">
        <v>100238</v>
      </c>
      <c r="T42" s="0" t="n">
        <v>100238</v>
      </c>
      <c r="U42" s="0" t="s">
        <v>887</v>
      </c>
    </row>
    <row r="43" customFormat="false" ht="15" hidden="false" customHeight="false" outlineLevel="0" collapsed="false">
      <c r="I43" s="0" t="s">
        <v>596</v>
      </c>
      <c r="J43" s="0" t="s">
        <v>879</v>
      </c>
      <c r="K43" s="0" t="s">
        <v>889</v>
      </c>
      <c r="M43" s="0" t="n">
        <v>40</v>
      </c>
      <c r="P43" s="0" t="n">
        <f aca="false">T43</f>
        <v>100239</v>
      </c>
      <c r="Q43" s="0" t="s">
        <v>879</v>
      </c>
      <c r="R43" s="0" t="s">
        <v>890</v>
      </c>
      <c r="S43" s="0" t="n">
        <v>100239</v>
      </c>
      <c r="T43" s="0" t="n">
        <v>100239</v>
      </c>
      <c r="U43" s="0" t="s">
        <v>891</v>
      </c>
    </row>
    <row r="44" customFormat="false" ht="15" hidden="false" customHeight="false" outlineLevel="0" collapsed="false">
      <c r="I44" s="0" t="s">
        <v>604</v>
      </c>
      <c r="J44" s="0" t="s">
        <v>879</v>
      </c>
      <c r="K44" s="0" t="s">
        <v>892</v>
      </c>
      <c r="M44" s="0" t="n">
        <v>41</v>
      </c>
      <c r="P44" s="0" t="n">
        <f aca="false">T44</f>
        <v>100240</v>
      </c>
      <c r="Q44" s="0" t="s">
        <v>879</v>
      </c>
      <c r="R44" s="0" t="s">
        <v>890</v>
      </c>
      <c r="S44" s="0" t="n">
        <v>100239</v>
      </c>
      <c r="T44" s="0" t="n">
        <v>100240</v>
      </c>
      <c r="U44" s="0" t="s">
        <v>891</v>
      </c>
    </row>
    <row r="45" customFormat="false" ht="15" hidden="false" customHeight="false" outlineLevel="0" collapsed="false">
      <c r="I45" s="0" t="s">
        <v>607</v>
      </c>
      <c r="J45" s="0" t="s">
        <v>881</v>
      </c>
      <c r="K45" s="0" t="s">
        <v>893</v>
      </c>
      <c r="M45" s="0" t="n">
        <v>42</v>
      </c>
      <c r="P45" s="0" t="n">
        <f aca="false">T45</f>
        <v>100241</v>
      </c>
      <c r="Q45" s="0" t="s">
        <v>881</v>
      </c>
      <c r="R45" s="0" t="s">
        <v>607</v>
      </c>
      <c r="S45" s="0" t="n">
        <v>100241</v>
      </c>
      <c r="T45" s="0" t="n">
        <v>100241</v>
      </c>
      <c r="U45" s="0" t="s">
        <v>891</v>
      </c>
    </row>
    <row r="46" customFormat="false" ht="15" hidden="false" customHeight="false" outlineLevel="0" collapsed="false">
      <c r="I46" s="0" t="s">
        <v>615</v>
      </c>
      <c r="J46" s="0" t="s">
        <v>884</v>
      </c>
      <c r="K46" s="0" t="s">
        <v>894</v>
      </c>
      <c r="M46" s="0" t="n">
        <v>43</v>
      </c>
      <c r="P46" s="0" t="n">
        <f aca="false">T46</f>
        <v>100242</v>
      </c>
      <c r="Q46" s="0" t="s">
        <v>884</v>
      </c>
      <c r="R46" s="0" t="s">
        <v>615</v>
      </c>
      <c r="S46" s="0" t="n">
        <v>100242</v>
      </c>
      <c r="T46" s="0" t="n">
        <v>100242</v>
      </c>
      <c r="U46" s="0" t="s">
        <v>895</v>
      </c>
    </row>
    <row r="47" customFormat="false" ht="15" hidden="false" customHeight="false" outlineLevel="0" collapsed="false">
      <c r="I47" s="0" t="s">
        <v>623</v>
      </c>
      <c r="J47" s="0" t="s">
        <v>886</v>
      </c>
      <c r="K47" s="0" t="s">
        <v>896</v>
      </c>
      <c r="M47" s="0" t="n">
        <v>44</v>
      </c>
      <c r="P47" s="0" t="n">
        <f aca="false">T47</f>
        <v>100243</v>
      </c>
      <c r="Q47" s="0" t="s">
        <v>886</v>
      </c>
      <c r="R47" s="0" t="s">
        <v>623</v>
      </c>
      <c r="S47" s="0" t="n">
        <v>100243</v>
      </c>
      <c r="T47" s="0" t="n">
        <v>100243</v>
      </c>
      <c r="U47" s="0" t="s">
        <v>895</v>
      </c>
    </row>
    <row r="48" customFormat="false" ht="15" hidden="false" customHeight="false" outlineLevel="0" collapsed="false">
      <c r="I48" s="0" t="s">
        <v>631</v>
      </c>
      <c r="J48" s="0" t="s">
        <v>888</v>
      </c>
      <c r="K48" s="0" t="s">
        <v>897</v>
      </c>
      <c r="M48" s="0" t="n">
        <v>45</v>
      </c>
      <c r="P48" s="0" t="n">
        <f aca="false">T48</f>
        <v>100244</v>
      </c>
      <c r="Q48" s="0" t="s">
        <v>888</v>
      </c>
      <c r="R48" s="0" t="s">
        <v>631</v>
      </c>
      <c r="S48" s="0" t="n">
        <v>100244</v>
      </c>
      <c r="T48" s="0" t="n">
        <v>100244</v>
      </c>
      <c r="U48" s="0" t="s">
        <v>898</v>
      </c>
    </row>
    <row r="49" customFormat="false" ht="15" hidden="false" customHeight="false" outlineLevel="0" collapsed="false">
      <c r="I49" s="0" t="s">
        <v>639</v>
      </c>
      <c r="J49" s="0" t="s">
        <v>889</v>
      </c>
      <c r="K49" s="0" t="s">
        <v>899</v>
      </c>
      <c r="M49" s="0" t="n">
        <v>46</v>
      </c>
      <c r="P49" s="0" t="n">
        <f aca="false">T49</f>
        <v>100245</v>
      </c>
      <c r="Q49" s="0" t="s">
        <v>889</v>
      </c>
      <c r="R49" s="0" t="s">
        <v>900</v>
      </c>
      <c r="S49" s="0" t="n">
        <v>100245</v>
      </c>
      <c r="T49" s="0" t="n">
        <v>100245</v>
      </c>
      <c r="U49" s="0" t="s">
        <v>898</v>
      </c>
    </row>
    <row r="50" customFormat="false" ht="15" hidden="false" customHeight="false" outlineLevel="0" collapsed="false">
      <c r="I50" s="0" t="s">
        <v>648</v>
      </c>
      <c r="J50" s="0" t="s">
        <v>889</v>
      </c>
      <c r="K50" s="0" t="s">
        <v>901</v>
      </c>
      <c r="M50" s="0" t="n">
        <v>47</v>
      </c>
      <c r="P50" s="0" t="n">
        <f aca="false">T50</f>
        <v>100246</v>
      </c>
      <c r="Q50" s="0" t="s">
        <v>889</v>
      </c>
      <c r="R50" s="0" t="s">
        <v>900</v>
      </c>
      <c r="S50" s="0" t="n">
        <v>100245</v>
      </c>
      <c r="T50" s="0" t="n">
        <v>100246</v>
      </c>
      <c r="U50" s="0" t="s">
        <v>898</v>
      </c>
    </row>
    <row r="51" customFormat="false" ht="15" hidden="false" customHeight="false" outlineLevel="0" collapsed="false">
      <c r="I51" s="0" t="s">
        <v>651</v>
      </c>
      <c r="J51" s="0" t="s">
        <v>892</v>
      </c>
      <c r="P51" s="0" t="n">
        <f aca="false">T51</f>
        <v>100247</v>
      </c>
      <c r="Q51" s="0" t="s">
        <v>892</v>
      </c>
      <c r="R51" s="0" t="s">
        <v>651</v>
      </c>
      <c r="S51" s="0" t="n">
        <v>100247</v>
      </c>
      <c r="T51" s="0" t="n">
        <v>100247</v>
      </c>
      <c r="U51" s="0" t="s">
        <v>902</v>
      </c>
    </row>
    <row r="52" customFormat="false" ht="15" hidden="false" customHeight="false" outlineLevel="0" collapsed="false">
      <c r="I52" s="0" t="s">
        <v>659</v>
      </c>
      <c r="J52" s="0" t="s">
        <v>893</v>
      </c>
      <c r="P52" s="0" t="n">
        <f aca="false">T52</f>
        <v>100248</v>
      </c>
      <c r="Q52" s="0" t="s">
        <v>893</v>
      </c>
      <c r="R52" s="0" t="s">
        <v>903</v>
      </c>
      <c r="S52" s="0" t="n">
        <v>100248</v>
      </c>
      <c r="T52" s="0" t="n">
        <v>100248</v>
      </c>
      <c r="U52" s="0" t="s">
        <v>902</v>
      </c>
    </row>
    <row r="53" customFormat="false" ht="15" hidden="false" customHeight="false" outlineLevel="0" collapsed="false">
      <c r="I53" s="0" t="s">
        <v>668</v>
      </c>
      <c r="J53" s="0" t="s">
        <v>893</v>
      </c>
      <c r="P53" s="0" t="n">
        <f aca="false">T53</f>
        <v>100249</v>
      </c>
      <c r="Q53" s="0" t="s">
        <v>893</v>
      </c>
      <c r="R53" s="0" t="s">
        <v>903</v>
      </c>
      <c r="S53" s="0" t="n">
        <v>100248</v>
      </c>
      <c r="T53" s="0" t="n">
        <v>100249</v>
      </c>
      <c r="U53" s="0" t="s">
        <v>902</v>
      </c>
    </row>
    <row r="54" customFormat="false" ht="15" hidden="false" customHeight="false" outlineLevel="0" collapsed="false">
      <c r="I54" s="0" t="s">
        <v>671</v>
      </c>
      <c r="J54" s="0" t="s">
        <v>894</v>
      </c>
      <c r="P54" s="0" t="n">
        <f aca="false">T54</f>
        <v>100250</v>
      </c>
      <c r="Q54" s="0" t="s">
        <v>894</v>
      </c>
      <c r="R54" s="0" t="s">
        <v>671</v>
      </c>
      <c r="S54" s="0" t="n">
        <v>100250</v>
      </c>
      <c r="T54" s="0" t="n">
        <v>100250</v>
      </c>
      <c r="U54" s="0" t="s">
        <v>904</v>
      </c>
    </row>
    <row r="55" customFormat="false" ht="15" hidden="false" customHeight="false" outlineLevel="0" collapsed="false">
      <c r="I55" s="0" t="s">
        <v>679</v>
      </c>
      <c r="J55" s="0" t="s">
        <v>896</v>
      </c>
      <c r="P55" s="0" t="n">
        <f aca="false">T55</f>
        <v>100251</v>
      </c>
      <c r="Q55" s="0" t="s">
        <v>896</v>
      </c>
      <c r="R55" s="0" t="s">
        <v>679</v>
      </c>
      <c r="S55" s="0" t="n">
        <v>100251</v>
      </c>
      <c r="T55" s="0" t="n">
        <v>100251</v>
      </c>
      <c r="U55" s="0" t="s">
        <v>904</v>
      </c>
    </row>
    <row r="56" customFormat="false" ht="15" hidden="false" customHeight="false" outlineLevel="0" collapsed="false">
      <c r="I56" s="0" t="s">
        <v>687</v>
      </c>
      <c r="J56" s="0" t="s">
        <v>897</v>
      </c>
      <c r="P56" s="0" t="n">
        <f aca="false">T56</f>
        <v>100252</v>
      </c>
      <c r="Q56" s="0" t="s">
        <v>897</v>
      </c>
      <c r="R56" s="0" t="s">
        <v>687</v>
      </c>
      <c r="S56" s="0" t="n">
        <v>100252</v>
      </c>
      <c r="T56" s="0" t="n">
        <v>100252</v>
      </c>
      <c r="U56" s="0" t="s">
        <v>905</v>
      </c>
    </row>
    <row r="57" customFormat="false" ht="15" hidden="false" customHeight="false" outlineLevel="0" collapsed="false">
      <c r="I57" s="0" t="s">
        <v>695</v>
      </c>
      <c r="J57" s="0" t="s">
        <v>899</v>
      </c>
      <c r="P57" s="0" t="n">
        <f aca="false">T57</f>
        <v>100253</v>
      </c>
      <c r="Q57" s="0" t="s">
        <v>899</v>
      </c>
      <c r="R57" s="0" t="s">
        <v>695</v>
      </c>
      <c r="S57" s="0" t="n">
        <v>100253</v>
      </c>
      <c r="T57" s="0" t="n">
        <v>100253</v>
      </c>
      <c r="U57" s="0" t="s">
        <v>905</v>
      </c>
    </row>
    <row r="58" customFormat="false" ht="15" hidden="false" customHeight="false" outlineLevel="0" collapsed="false">
      <c r="I58" s="0" t="s">
        <v>703</v>
      </c>
      <c r="J58" s="0" t="s">
        <v>901</v>
      </c>
      <c r="P58" s="0" t="n">
        <f aca="false">T58</f>
        <v>100254</v>
      </c>
      <c r="Q58" s="0" t="s">
        <v>901</v>
      </c>
      <c r="R58" s="0" t="s">
        <v>703</v>
      </c>
      <c r="S58" s="0" t="n">
        <v>100254</v>
      </c>
      <c r="T58" s="0" t="n">
        <v>100254</v>
      </c>
      <c r="U58" s="0" t="s">
        <v>906</v>
      </c>
    </row>
    <row r="59" customFormat="false" ht="15" hidden="false" customHeight="false" outlineLevel="0" collapsed="false">
      <c r="P59" s="0" t="n">
        <f aca="false">T59</f>
        <v>100255</v>
      </c>
      <c r="Q59" s="0" t="s">
        <v>907</v>
      </c>
      <c r="R59" s="0" t="s">
        <v>711</v>
      </c>
      <c r="S59" s="0" t="n">
        <v>100255</v>
      </c>
      <c r="T59" s="0" t="n">
        <v>100255</v>
      </c>
      <c r="U59" s="0" t="s">
        <v>906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2:AB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2" customFormat="false" ht="15" hidden="false" customHeight="false" outlineLevel="0" collapsed="false">
      <c r="D2" s="0" t="s">
        <v>908</v>
      </c>
      <c r="F2" s="0" t="s">
        <v>909</v>
      </c>
      <c r="G2" s="0" t="s">
        <v>910</v>
      </c>
      <c r="H2" s="0" t="s">
        <v>911</v>
      </c>
      <c r="I2" s="0" t="s">
        <v>912</v>
      </c>
      <c r="J2" s="0" t="s">
        <v>913</v>
      </c>
      <c r="K2" s="0" t="s">
        <v>914</v>
      </c>
      <c r="L2" s="0" t="s">
        <v>915</v>
      </c>
      <c r="M2" s="0" t="s">
        <v>916</v>
      </c>
      <c r="N2" s="0" t="s">
        <v>917</v>
      </c>
      <c r="O2" s="0" t="s">
        <v>918</v>
      </c>
      <c r="P2" s="0" t="s">
        <v>919</v>
      </c>
      <c r="Q2" s="0" t="s">
        <v>920</v>
      </c>
      <c r="R2" s="0" t="s">
        <v>921</v>
      </c>
      <c r="S2" s="0" t="s">
        <v>922</v>
      </c>
      <c r="T2" s="0" t="s">
        <v>923</v>
      </c>
      <c r="U2" s="0" t="s">
        <v>924</v>
      </c>
      <c r="V2" s="0" t="s">
        <v>925</v>
      </c>
      <c r="X2" s="0" t="s">
        <v>926</v>
      </c>
      <c r="Y2" s="0" t="s">
        <v>927</v>
      </c>
      <c r="Z2" s="0" t="s">
        <v>928</v>
      </c>
      <c r="AA2" s="0" t="s">
        <v>929</v>
      </c>
      <c r="AB2" s="0" t="s">
        <v>930</v>
      </c>
    </row>
    <row r="3" customFormat="false" ht="15" hidden="false" customHeight="false" outlineLevel="0" collapsed="false">
      <c r="C3" s="0" t="s">
        <v>7</v>
      </c>
      <c r="D3" s="0" t="s">
        <v>931</v>
      </c>
      <c r="E3" s="0" t="s">
        <v>3</v>
      </c>
      <c r="F3" s="0" t="s">
        <v>909</v>
      </c>
      <c r="G3" s="0" t="s">
        <v>910</v>
      </c>
      <c r="H3" s="0" t="s">
        <v>911</v>
      </c>
      <c r="I3" s="0" t="s">
        <v>912</v>
      </c>
      <c r="J3" s="0" t="s">
        <v>913</v>
      </c>
      <c r="K3" s="0" t="s">
        <v>914</v>
      </c>
      <c r="L3" s="0" t="s">
        <v>915</v>
      </c>
      <c r="M3" s="0" t="s">
        <v>916</v>
      </c>
      <c r="N3" s="0" t="s">
        <v>917</v>
      </c>
      <c r="O3" s="0" t="s">
        <v>918</v>
      </c>
      <c r="P3" s="0" t="s">
        <v>919</v>
      </c>
      <c r="Q3" s="0" t="s">
        <v>920</v>
      </c>
      <c r="R3" s="0" t="s">
        <v>921</v>
      </c>
      <c r="S3" s="0" t="s">
        <v>922</v>
      </c>
      <c r="T3" s="0" t="s">
        <v>923</v>
      </c>
      <c r="U3" s="0" t="s">
        <v>924</v>
      </c>
      <c r="V3" s="0" t="s">
        <v>925</v>
      </c>
      <c r="W3" s="0" t="s">
        <v>932</v>
      </c>
      <c r="X3" s="0" t="s">
        <v>933</v>
      </c>
      <c r="Y3" s="0" t="s">
        <v>927</v>
      </c>
      <c r="Z3" s="0" t="s">
        <v>928</v>
      </c>
      <c r="AA3" s="0" t="s">
        <v>929</v>
      </c>
      <c r="AB3" s="0" t="s">
        <v>930</v>
      </c>
    </row>
    <row r="4" customFormat="false" ht="15" hidden="false" customHeight="false" outlineLevel="0" collapsed="false">
      <c r="C4" s="0" t="n">
        <v>100226</v>
      </c>
      <c r="D4" s="0" t="str">
        <f aca="false">_xlfn.XLOOKUP(C4,Mapping!$P:$P,Mapping!$R:$R)</f>
        <v>Zenith Education</v>
      </c>
      <c r="E4" s="0" t="str">
        <f aca="false">_xlfn.XLOOKUP(C4,Mapping!$P:$P,Mapping!$Q:$Q)</f>
        <v>ZENI24</v>
      </c>
      <c r="F4" s="0" t="n">
        <v>1</v>
      </c>
      <c r="G4" s="0" t="s">
        <v>492</v>
      </c>
      <c r="H4" s="0" t="s">
        <v>787</v>
      </c>
      <c r="I4" s="0" t="s">
        <v>934</v>
      </c>
      <c r="J4" s="0" t="s">
        <v>495</v>
      </c>
      <c r="K4" s="0" t="s">
        <v>935</v>
      </c>
      <c r="L4" s="0" t="s">
        <v>255</v>
      </c>
      <c r="M4" s="0" t="n">
        <v>65</v>
      </c>
      <c r="N4" s="0" t="s">
        <v>936</v>
      </c>
      <c r="O4" s="0" t="s">
        <v>937</v>
      </c>
      <c r="P4" s="1" t="n">
        <v>45813</v>
      </c>
      <c r="Q4" s="1" t="n">
        <v>41948</v>
      </c>
      <c r="R4" s="1" t="n">
        <v>42009</v>
      </c>
      <c r="S4" s="0" t="n">
        <v>510000000</v>
      </c>
      <c r="T4" s="0" t="s">
        <v>938</v>
      </c>
      <c r="U4" s="0" t="s">
        <v>939</v>
      </c>
      <c r="V4" s="0" t="s">
        <v>940</v>
      </c>
      <c r="W4" s="0" t="s">
        <v>941</v>
      </c>
      <c r="Y4" s="0" t="s">
        <v>942</v>
      </c>
      <c r="Z4" s="0" t="s">
        <v>941</v>
      </c>
      <c r="AA4" s="0" t="s">
        <v>943</v>
      </c>
      <c r="AB4" s="0" t="s">
        <v>944</v>
      </c>
    </row>
    <row r="5" customFormat="false" ht="15" hidden="false" customHeight="false" outlineLevel="0" collapsed="false">
      <c r="C5" s="0" t="n">
        <v>100208</v>
      </c>
      <c r="D5" s="0" t="str">
        <f aca="false">_xlfn.XLOOKUP(C5,Mapping!$P:$P,Mapping!$R:$R)</f>
        <v>Granite Hydro</v>
      </c>
      <c r="E5" s="0" t="str">
        <f aca="false">_xlfn.XLOOKUP(C5,Mapping!$P:$P,Mapping!$Q:$Q)</f>
        <v>GRAN07</v>
      </c>
      <c r="F5" s="0" t="n">
        <v>2</v>
      </c>
      <c r="G5" s="0" t="s">
        <v>309</v>
      </c>
      <c r="H5" s="0" t="s">
        <v>945</v>
      </c>
      <c r="I5" s="0" t="s">
        <v>946</v>
      </c>
      <c r="J5" s="0" t="s">
        <v>312</v>
      </c>
      <c r="K5" s="0" t="s">
        <v>947</v>
      </c>
      <c r="L5" s="0" t="s">
        <v>216</v>
      </c>
      <c r="M5" s="0" t="n">
        <v>130</v>
      </c>
      <c r="N5" s="0" t="s">
        <v>948</v>
      </c>
      <c r="Q5" s="1" t="n">
        <v>42072</v>
      </c>
      <c r="R5" s="1" t="n">
        <v>42133</v>
      </c>
      <c r="S5" s="0" t="n">
        <v>720000000</v>
      </c>
      <c r="T5" s="0" t="s">
        <v>213</v>
      </c>
      <c r="U5" s="0" t="s">
        <v>939</v>
      </c>
      <c r="V5" s="0" t="s">
        <v>940</v>
      </c>
      <c r="W5" s="0" t="s">
        <v>949</v>
      </c>
      <c r="Y5" s="0" t="s">
        <v>950</v>
      </c>
      <c r="Z5" s="0" t="s">
        <v>949</v>
      </c>
      <c r="AA5" s="0" t="s">
        <v>939</v>
      </c>
      <c r="AB5" s="0" t="s">
        <v>944</v>
      </c>
    </row>
    <row r="6" customFormat="false" ht="15" hidden="false" customHeight="false" outlineLevel="0" collapsed="false">
      <c r="C6" s="0" t="n">
        <v>100218</v>
      </c>
      <c r="D6" s="0" t="str">
        <f aca="false">_xlfn.XLOOKUP(C6,Mapping!$P:$P,Mapping!$R:$R)</f>
        <v>Pioneer Gas</v>
      </c>
      <c r="E6" s="0" t="str">
        <f aca="false">_xlfn.XLOOKUP(C6,Mapping!$P:$P,Mapping!$Q:$Q)</f>
        <v>PION16</v>
      </c>
      <c r="F6" s="0" t="n">
        <v>3</v>
      </c>
      <c r="G6" s="0" t="s">
        <v>347</v>
      </c>
      <c r="H6" s="0" t="s">
        <v>951</v>
      </c>
      <c r="I6" s="0" t="s">
        <v>952</v>
      </c>
      <c r="J6" s="0" t="s">
        <v>249</v>
      </c>
      <c r="K6" s="0" t="s">
        <v>947</v>
      </c>
      <c r="L6" s="0" t="s">
        <v>224</v>
      </c>
      <c r="M6" s="0" t="n">
        <v>30</v>
      </c>
      <c r="N6" s="0" t="s">
        <v>948</v>
      </c>
      <c r="Q6" s="1" t="n">
        <v>42100</v>
      </c>
      <c r="R6" s="1" t="n">
        <v>42161</v>
      </c>
      <c r="S6" s="0" t="n">
        <v>640000000</v>
      </c>
      <c r="T6" s="0" t="s">
        <v>938</v>
      </c>
      <c r="U6" s="0" t="s">
        <v>953</v>
      </c>
      <c r="V6" s="0" t="s">
        <v>940</v>
      </c>
      <c r="W6" s="0" t="s">
        <v>954</v>
      </c>
      <c r="Y6" s="0" t="s">
        <v>955</v>
      </c>
      <c r="Z6" s="0" t="s">
        <v>954</v>
      </c>
      <c r="AA6" s="0" t="s">
        <v>953</v>
      </c>
      <c r="AB6" s="0" t="s">
        <v>956</v>
      </c>
    </row>
    <row r="7" customFormat="false" ht="15" hidden="false" customHeight="false" outlineLevel="0" collapsed="false">
      <c r="C7" s="0" t="n">
        <v>100216</v>
      </c>
      <c r="D7" s="0" t="str">
        <f aca="false">_xlfn.XLOOKUP(C7,Mapping!$P:$P,Mapping!$R:$R)</f>
        <v>Nimbus Airports</v>
      </c>
      <c r="E7" s="0" t="str">
        <f aca="false">_xlfn.XLOOKUP(C7,Mapping!$P:$P,Mapping!$Q:$Q)</f>
        <v>NIMB14</v>
      </c>
      <c r="F7" s="0" t="n">
        <v>4</v>
      </c>
      <c r="G7" s="0" t="s">
        <v>231</v>
      </c>
      <c r="H7" s="0" t="s">
        <v>945</v>
      </c>
      <c r="I7" s="0" t="s">
        <v>957</v>
      </c>
      <c r="J7" s="0" t="s">
        <v>249</v>
      </c>
      <c r="K7" s="0" t="s">
        <v>947</v>
      </c>
      <c r="L7" s="0" t="s">
        <v>269</v>
      </c>
      <c r="M7" s="0" t="n">
        <v>125</v>
      </c>
      <c r="N7" s="0" t="s">
        <v>948</v>
      </c>
      <c r="Q7" s="1" t="n">
        <v>42156</v>
      </c>
      <c r="R7" s="1" t="n">
        <v>42217</v>
      </c>
      <c r="S7" s="0" t="n">
        <v>90000000</v>
      </c>
      <c r="T7" s="0" t="s">
        <v>938</v>
      </c>
      <c r="U7" s="0" t="s">
        <v>953</v>
      </c>
      <c r="V7" s="0" t="s">
        <v>958</v>
      </c>
      <c r="W7" s="0" t="s">
        <v>959</v>
      </c>
      <c r="Y7" s="0" t="s">
        <v>960</v>
      </c>
      <c r="Z7" s="0" t="s">
        <v>959</v>
      </c>
      <c r="AA7" s="0" t="s">
        <v>939</v>
      </c>
      <c r="AB7" s="0" t="s">
        <v>956</v>
      </c>
    </row>
    <row r="8" customFormat="false" ht="15" hidden="false" customHeight="false" outlineLevel="0" collapsed="false">
      <c r="C8" s="0" t="n">
        <v>100200</v>
      </c>
      <c r="D8" s="0" t="str">
        <f aca="false">_xlfn.XLOOKUP(C8,Mapping!$P:$P,Mapping!$R:$R)</f>
        <v>Aurora Offshore</v>
      </c>
      <c r="E8" s="0" t="str">
        <f aca="false">_xlfn.XLOOKUP(C8,Mapping!$P:$P,Mapping!$Q:$Q)</f>
        <v>AURO01</v>
      </c>
      <c r="F8" s="0" t="n">
        <v>5</v>
      </c>
      <c r="G8" s="0" t="s">
        <v>192</v>
      </c>
      <c r="H8" s="0" t="s">
        <v>951</v>
      </c>
      <c r="I8" s="0" t="s">
        <v>961</v>
      </c>
      <c r="J8" s="0" t="s">
        <v>196</v>
      </c>
      <c r="K8" s="0" t="s">
        <v>947</v>
      </c>
      <c r="L8" s="0" t="s">
        <v>205</v>
      </c>
      <c r="M8" s="0" t="n">
        <v>35</v>
      </c>
      <c r="N8" s="0" t="s">
        <v>948</v>
      </c>
      <c r="Q8" s="1" t="n">
        <v>42288</v>
      </c>
      <c r="R8" s="1" t="n">
        <v>42349</v>
      </c>
      <c r="S8" s="0" t="n">
        <v>650000000</v>
      </c>
      <c r="T8" s="0" t="s">
        <v>938</v>
      </c>
      <c r="U8" s="0" t="s">
        <v>953</v>
      </c>
      <c r="V8" s="0" t="s">
        <v>958</v>
      </c>
      <c r="W8" s="0" t="s">
        <v>949</v>
      </c>
      <c r="Y8" s="0" t="s">
        <v>962</v>
      </c>
      <c r="Z8" s="0" t="s">
        <v>949</v>
      </c>
      <c r="AA8" s="0" t="s">
        <v>953</v>
      </c>
      <c r="AB8" s="0" t="s">
        <v>956</v>
      </c>
    </row>
    <row r="9" customFormat="false" ht="15" hidden="false" customHeight="false" outlineLevel="0" collapsed="false">
      <c r="C9" s="0" t="n">
        <v>100230</v>
      </c>
      <c r="D9" s="0" t="str">
        <f aca="false">_xlfn.XLOOKUP(C9,Mapping!$P:$P,Mapping!$R:$R)</f>
        <v>Birch Ports</v>
      </c>
      <c r="E9" s="0" t="str">
        <f aca="false">_xlfn.XLOOKUP(C9,Mapping!$P:$P,Mapping!$Q:$Q)</f>
        <v>BIRC26</v>
      </c>
      <c r="F9" s="0" t="n">
        <v>6</v>
      </c>
      <c r="G9" s="0" t="s">
        <v>518</v>
      </c>
      <c r="H9" s="0" t="s">
        <v>787</v>
      </c>
      <c r="I9" s="0" t="s">
        <v>963</v>
      </c>
      <c r="J9" s="0" t="s">
        <v>284</v>
      </c>
      <c r="K9" s="0" t="s">
        <v>947</v>
      </c>
      <c r="L9" s="0" t="s">
        <v>255</v>
      </c>
      <c r="M9" s="0" t="n">
        <v>110</v>
      </c>
      <c r="N9" s="0" t="s">
        <v>948</v>
      </c>
      <c r="Q9" s="1" t="n">
        <v>42302</v>
      </c>
      <c r="R9" s="1" t="n">
        <v>42363</v>
      </c>
      <c r="S9" s="0" t="n">
        <v>720000000</v>
      </c>
      <c r="T9" s="0" t="s">
        <v>938</v>
      </c>
      <c r="U9" s="0" t="s">
        <v>939</v>
      </c>
      <c r="V9" s="0" t="s">
        <v>958</v>
      </c>
      <c r="W9" s="0" t="s">
        <v>959</v>
      </c>
      <c r="Y9" s="0" t="s">
        <v>964</v>
      </c>
      <c r="Z9" s="0" t="s">
        <v>959</v>
      </c>
      <c r="AA9" s="0" t="s">
        <v>943</v>
      </c>
      <c r="AB9" s="0" t="s">
        <v>956</v>
      </c>
    </row>
    <row r="10" customFormat="false" ht="15" hidden="false" customHeight="false" outlineLevel="0" collapsed="false">
      <c r="C10" s="0" t="n">
        <v>100242</v>
      </c>
      <c r="D10" s="0" t="str">
        <f aca="false">_xlfn.XLOOKUP(C10,Mapping!$P:$P,Mapping!$R:$R)</f>
        <v>Mistral Solar</v>
      </c>
      <c r="E10" s="0" t="str">
        <f aca="false">_xlfn.XLOOKUP(C10,Mapping!$P:$P,Mapping!$Q:$Q)</f>
        <v>MIST37</v>
      </c>
      <c r="F10" s="0" t="n">
        <v>7</v>
      </c>
      <c r="G10" s="0" t="s">
        <v>381</v>
      </c>
      <c r="H10" s="0" t="s">
        <v>787</v>
      </c>
      <c r="I10" s="0" t="s">
        <v>965</v>
      </c>
      <c r="J10" s="0" t="s">
        <v>529</v>
      </c>
      <c r="K10" s="0" t="s">
        <v>935</v>
      </c>
      <c r="L10" s="0" t="s">
        <v>255</v>
      </c>
      <c r="M10" s="0" t="n">
        <v>70</v>
      </c>
      <c r="N10" s="0" t="s">
        <v>936</v>
      </c>
      <c r="O10" s="0" t="s">
        <v>937</v>
      </c>
      <c r="P10" s="1" t="n">
        <v>45035</v>
      </c>
      <c r="Q10" s="1" t="n">
        <v>42357</v>
      </c>
      <c r="R10" s="1" t="n">
        <v>42419</v>
      </c>
      <c r="S10" s="0" t="n">
        <v>870000000</v>
      </c>
      <c r="T10" s="0" t="s">
        <v>938</v>
      </c>
      <c r="U10" s="0" t="s">
        <v>939</v>
      </c>
      <c r="V10" s="0" t="s">
        <v>940</v>
      </c>
      <c r="W10" s="0" t="s">
        <v>949</v>
      </c>
      <c r="X10" s="0" t="n">
        <v>0.8622</v>
      </c>
      <c r="Y10" s="0" t="s">
        <v>966</v>
      </c>
      <c r="Z10" s="0" t="s">
        <v>949</v>
      </c>
      <c r="AA10" s="0" t="s">
        <v>943</v>
      </c>
      <c r="AB10" s="0" t="s">
        <v>956</v>
      </c>
    </row>
    <row r="11" customFormat="false" ht="15" hidden="false" customHeight="false" outlineLevel="0" collapsed="false">
      <c r="C11" s="0" t="n">
        <v>100210</v>
      </c>
      <c r="D11" s="0" t="str">
        <f aca="false">_xlfn.XLOOKUP(C11,Mapping!$P:$P,Mapping!$R:$R)</f>
        <v>Iris Fibre</v>
      </c>
      <c r="E11" s="0" t="str">
        <f aca="false">_xlfn.XLOOKUP(C11,Mapping!$P:$P,Mapping!$Q:$Q)</f>
        <v>IRIS09</v>
      </c>
      <c r="F11" s="0" t="n">
        <v>8</v>
      </c>
      <c r="G11" s="0" t="s">
        <v>336</v>
      </c>
      <c r="H11" s="0" t="s">
        <v>945</v>
      </c>
      <c r="I11" s="0" t="s">
        <v>967</v>
      </c>
      <c r="J11" s="0" t="s">
        <v>299</v>
      </c>
      <c r="K11" s="0" t="s">
        <v>947</v>
      </c>
      <c r="L11" s="0" t="s">
        <v>216</v>
      </c>
      <c r="M11" s="0" t="n">
        <v>120</v>
      </c>
      <c r="N11" s="0" t="s">
        <v>948</v>
      </c>
      <c r="Q11" s="1" t="n">
        <v>42477</v>
      </c>
      <c r="R11" s="1" t="n">
        <v>42538</v>
      </c>
      <c r="S11" s="0" t="n">
        <v>770000000</v>
      </c>
      <c r="T11" s="0" t="s">
        <v>938</v>
      </c>
      <c r="U11" s="0" t="s">
        <v>953</v>
      </c>
      <c r="V11" s="0" t="s">
        <v>940</v>
      </c>
      <c r="W11" s="0" t="s">
        <v>968</v>
      </c>
      <c r="X11" s="0" t="n">
        <v>0.8608</v>
      </c>
      <c r="Y11" s="0" t="s">
        <v>969</v>
      </c>
      <c r="Z11" s="0" t="s">
        <v>968</v>
      </c>
      <c r="AA11" s="0" t="s">
        <v>943</v>
      </c>
      <c r="AB11" s="0" t="s">
        <v>956</v>
      </c>
    </row>
    <row r="12" customFormat="false" ht="15" hidden="false" customHeight="false" outlineLevel="0" collapsed="false">
      <c r="C12" s="0" t="n">
        <v>100215</v>
      </c>
      <c r="D12" s="0" t="str">
        <f aca="false">_xlfn.XLOOKUP(C12,Mapping!$P:$P,Mapping!$R:$R)</f>
        <v>Meridian Solar</v>
      </c>
      <c r="E12" s="0" t="str">
        <f aca="false">_xlfn.XLOOKUP(C12,Mapping!$P:$P,Mapping!$Q:$Q)</f>
        <v>MERI13</v>
      </c>
      <c r="F12" s="0" t="n">
        <v>9</v>
      </c>
      <c r="G12" s="0" t="s">
        <v>381</v>
      </c>
      <c r="H12" s="0" t="s">
        <v>787</v>
      </c>
      <c r="I12" s="0" t="s">
        <v>970</v>
      </c>
      <c r="J12" s="0" t="s">
        <v>384</v>
      </c>
      <c r="K12" s="0" t="s">
        <v>947</v>
      </c>
      <c r="L12" s="0" t="s">
        <v>216</v>
      </c>
      <c r="M12" s="0" t="n">
        <v>110</v>
      </c>
      <c r="N12" s="0" t="s">
        <v>936</v>
      </c>
      <c r="O12" s="0" t="s">
        <v>937</v>
      </c>
      <c r="P12" s="1" t="n">
        <v>45420</v>
      </c>
      <c r="Q12" s="1" t="n">
        <v>42590</v>
      </c>
      <c r="R12" s="1" t="n">
        <v>42651</v>
      </c>
      <c r="S12" s="0" t="n">
        <v>590000000</v>
      </c>
      <c r="T12" s="0" t="s">
        <v>938</v>
      </c>
      <c r="U12" s="0" t="s">
        <v>939</v>
      </c>
      <c r="V12" s="0" t="s">
        <v>958</v>
      </c>
      <c r="W12" s="0" t="s">
        <v>949</v>
      </c>
      <c r="Y12" s="0" t="s">
        <v>971</v>
      </c>
      <c r="Z12" s="0" t="s">
        <v>949</v>
      </c>
      <c r="AA12" s="0" t="s">
        <v>939</v>
      </c>
      <c r="AB12" s="0" t="s">
        <v>956</v>
      </c>
    </row>
    <row r="13" customFormat="false" ht="15" hidden="false" customHeight="false" outlineLevel="0" collapsed="false">
      <c r="C13" s="0" t="n">
        <v>100251</v>
      </c>
      <c r="D13" s="0" t="str">
        <f aca="false">_xlfn.XLOOKUP(C13,Mapping!$P:$P,Mapping!$R:$R)</f>
        <v>Tundra Ports</v>
      </c>
      <c r="E13" s="0" t="str">
        <f aca="false">_xlfn.XLOOKUP(C13,Mapping!$P:$P,Mapping!$Q:$Q)</f>
        <v>TUND44</v>
      </c>
      <c r="F13" s="0" t="n">
        <v>10</v>
      </c>
      <c r="G13" s="0" t="s">
        <v>518</v>
      </c>
      <c r="H13" s="0" t="s">
        <v>787</v>
      </c>
      <c r="I13" s="0" t="s">
        <v>972</v>
      </c>
      <c r="J13" s="0" t="s">
        <v>384</v>
      </c>
      <c r="K13" s="0" t="s">
        <v>935</v>
      </c>
      <c r="L13" s="0" t="s">
        <v>205</v>
      </c>
      <c r="M13" s="0" t="n">
        <v>75</v>
      </c>
      <c r="N13" s="0" t="s">
        <v>948</v>
      </c>
      <c r="Q13" s="1" t="n">
        <v>42718</v>
      </c>
      <c r="R13" s="1" t="n">
        <v>42780</v>
      </c>
      <c r="S13" s="0" t="n">
        <v>400000000</v>
      </c>
      <c r="T13" s="0" t="s">
        <v>938</v>
      </c>
      <c r="U13" s="0" t="s">
        <v>939</v>
      </c>
      <c r="V13" s="0" t="s">
        <v>940</v>
      </c>
      <c r="W13" s="0" t="s">
        <v>959</v>
      </c>
      <c r="X13" s="0" t="n">
        <v>0.8644</v>
      </c>
      <c r="Y13" s="0" t="s">
        <v>973</v>
      </c>
      <c r="Z13" s="0" t="s">
        <v>959</v>
      </c>
      <c r="AA13" s="0" t="s">
        <v>943</v>
      </c>
      <c r="AB13" s="0" t="s">
        <v>956</v>
      </c>
    </row>
    <row r="14" customFormat="false" ht="15" hidden="false" customHeight="false" outlineLevel="0" collapsed="false">
      <c r="C14" s="0" t="n">
        <v>100253</v>
      </c>
      <c r="D14" s="0" t="str">
        <f aca="false">_xlfn.XLOOKUP(C14,Mapping!$P:$P,Mapping!$R:$R)</f>
        <v>Vale Water</v>
      </c>
      <c r="E14" s="0" t="str">
        <f aca="false">_xlfn.XLOOKUP(C14,Mapping!$P:$P,Mapping!$Q:$Q)</f>
        <v>VALE46</v>
      </c>
      <c r="F14" s="0" t="n">
        <v>11</v>
      </c>
      <c r="G14" s="0" t="s">
        <v>262</v>
      </c>
      <c r="H14" s="0" t="s">
        <v>945</v>
      </c>
      <c r="I14" s="0" t="s">
        <v>974</v>
      </c>
      <c r="J14" s="0" t="s">
        <v>529</v>
      </c>
      <c r="K14" s="0" t="s">
        <v>947</v>
      </c>
      <c r="L14" s="0" t="s">
        <v>205</v>
      </c>
      <c r="M14" s="0" t="n">
        <v>115</v>
      </c>
      <c r="N14" s="0" t="s">
        <v>948</v>
      </c>
      <c r="Q14" s="1" t="n">
        <v>42758</v>
      </c>
      <c r="R14" s="1" t="n">
        <v>42817</v>
      </c>
      <c r="S14" s="0" t="n">
        <v>130000000</v>
      </c>
      <c r="T14" s="0" t="s">
        <v>938</v>
      </c>
      <c r="U14" s="0" t="s">
        <v>939</v>
      </c>
      <c r="V14" s="0" t="s">
        <v>958</v>
      </c>
      <c r="W14" s="0" t="s">
        <v>954</v>
      </c>
      <c r="Y14" s="0" t="s">
        <v>975</v>
      </c>
      <c r="Z14" s="0" t="s">
        <v>954</v>
      </c>
      <c r="AA14" s="0" t="s">
        <v>939</v>
      </c>
      <c r="AB14" s="0" t="s">
        <v>956</v>
      </c>
    </row>
    <row r="15" customFormat="false" ht="15" hidden="false" customHeight="false" outlineLevel="0" collapsed="false">
      <c r="C15" s="0" t="n">
        <v>100255</v>
      </c>
      <c r="D15" s="0" t="str">
        <f aca="false">_xlfn.XLOOKUP(C15,Mapping!$P:$P,Mapping!$R:$R)</f>
        <v>Yarrow Hospitals</v>
      </c>
      <c r="E15" s="0" t="str">
        <f aca="false">_xlfn.XLOOKUP(C15,Mapping!$P:$P,Mapping!$Q:$Q)</f>
        <v>YARR48</v>
      </c>
      <c r="F15" s="0" t="n">
        <v>12</v>
      </c>
      <c r="G15" s="0" t="s">
        <v>296</v>
      </c>
      <c r="H15" s="0" t="s">
        <v>945</v>
      </c>
      <c r="I15" s="0" t="s">
        <v>976</v>
      </c>
      <c r="J15" s="0" t="s">
        <v>196</v>
      </c>
      <c r="K15" s="0" t="s">
        <v>935</v>
      </c>
      <c r="L15" s="0" t="s">
        <v>220</v>
      </c>
      <c r="M15" s="0" t="n">
        <v>40</v>
      </c>
      <c r="N15" s="0" t="s">
        <v>948</v>
      </c>
      <c r="Q15" s="1" t="n">
        <v>42788</v>
      </c>
      <c r="R15" s="1" t="n">
        <v>42847</v>
      </c>
      <c r="S15" s="0" t="n">
        <v>820000000</v>
      </c>
      <c r="T15" s="0" t="s">
        <v>938</v>
      </c>
      <c r="U15" s="0" t="s">
        <v>939</v>
      </c>
      <c r="V15" s="0" t="s">
        <v>940</v>
      </c>
      <c r="W15" s="0" t="s">
        <v>941</v>
      </c>
      <c r="Y15" s="0" t="s">
        <v>977</v>
      </c>
      <c r="Z15" s="0" t="s">
        <v>941</v>
      </c>
      <c r="AA15" s="0" t="s">
        <v>953</v>
      </c>
      <c r="AB15" s="0" t="s">
        <v>956</v>
      </c>
    </row>
    <row r="16" customFormat="false" ht="15" hidden="false" customHeight="false" outlineLevel="0" collapsed="false">
      <c r="C16" s="0" t="n">
        <v>100238</v>
      </c>
      <c r="D16" s="0" t="str">
        <f aca="false">_xlfn.XLOOKUP(C16,Mapping!$P:$P,Mapping!$R:$R)</f>
        <v>Jade Gas</v>
      </c>
      <c r="E16" s="0" t="str">
        <f aca="false">_xlfn.XLOOKUP(C16,Mapping!$P:$P,Mapping!$Q:$Q)</f>
        <v>JADE34</v>
      </c>
      <c r="F16" s="0" t="n">
        <v>13</v>
      </c>
      <c r="G16" s="0" t="s">
        <v>347</v>
      </c>
      <c r="H16" s="0" t="s">
        <v>945</v>
      </c>
      <c r="I16" s="0" t="s">
        <v>978</v>
      </c>
      <c r="J16" s="0" t="s">
        <v>495</v>
      </c>
      <c r="K16" s="0" t="s">
        <v>947</v>
      </c>
      <c r="L16" s="0" t="s">
        <v>216</v>
      </c>
      <c r="M16" s="0" t="n">
        <v>30</v>
      </c>
      <c r="N16" s="0" t="s">
        <v>948</v>
      </c>
      <c r="Q16" s="1" t="n">
        <v>42949</v>
      </c>
      <c r="R16" s="1" t="n">
        <v>43010</v>
      </c>
      <c r="S16" s="0" t="n">
        <v>390000000</v>
      </c>
      <c r="T16" s="0" t="s">
        <v>938</v>
      </c>
      <c r="U16" s="0" t="s">
        <v>939</v>
      </c>
      <c r="V16" s="0" t="s">
        <v>958</v>
      </c>
      <c r="W16" s="0" t="s">
        <v>954</v>
      </c>
      <c r="Y16" s="0" t="s">
        <v>979</v>
      </c>
      <c r="Z16" s="0" t="s">
        <v>954</v>
      </c>
      <c r="AA16" s="0" t="s">
        <v>939</v>
      </c>
      <c r="AB16" s="0" t="s">
        <v>944</v>
      </c>
    </row>
    <row r="17" customFormat="false" ht="15" hidden="false" customHeight="false" outlineLevel="0" collapsed="false">
      <c r="C17" s="0" t="n">
        <v>100241</v>
      </c>
      <c r="D17" s="0" t="str">
        <f aca="false">_xlfn.XLOOKUP(C17,Mapping!$P:$P,Mapping!$R:$R)</f>
        <v>Lantern Hospitals</v>
      </c>
      <c r="E17" s="0" t="str">
        <f aca="false">_xlfn.XLOOKUP(C17,Mapping!$P:$P,Mapping!$Q:$Q)</f>
        <v>LANT36</v>
      </c>
      <c r="F17" s="0" t="n">
        <v>14</v>
      </c>
      <c r="G17" s="0" t="s">
        <v>296</v>
      </c>
      <c r="H17" s="0" t="s">
        <v>945</v>
      </c>
      <c r="I17" s="0" t="s">
        <v>980</v>
      </c>
      <c r="J17" s="0" t="s">
        <v>529</v>
      </c>
      <c r="K17" s="0" t="s">
        <v>947</v>
      </c>
      <c r="L17" s="0" t="s">
        <v>220</v>
      </c>
      <c r="M17" s="0" t="n">
        <v>75</v>
      </c>
      <c r="N17" s="0" t="s">
        <v>948</v>
      </c>
      <c r="Q17" s="1" t="n">
        <v>42993</v>
      </c>
      <c r="R17" s="1" t="n">
        <v>43054</v>
      </c>
      <c r="S17" s="0" t="n">
        <v>430000000</v>
      </c>
      <c r="T17" s="0" t="s">
        <v>213</v>
      </c>
      <c r="U17" s="0" t="s">
        <v>953</v>
      </c>
      <c r="V17" s="0" t="s">
        <v>958</v>
      </c>
      <c r="W17" s="0" t="s">
        <v>941</v>
      </c>
      <c r="Y17" s="0" t="s">
        <v>981</v>
      </c>
      <c r="Z17" s="0" t="s">
        <v>941</v>
      </c>
      <c r="AA17" s="0" t="s">
        <v>939</v>
      </c>
      <c r="AB17" s="0" t="s">
        <v>956</v>
      </c>
    </row>
    <row r="18" customFormat="false" ht="15" hidden="false" customHeight="false" outlineLevel="0" collapsed="false">
      <c r="C18" s="0" t="n">
        <v>100233</v>
      </c>
      <c r="D18" s="0" t="str">
        <f aca="false">_xlfn.XLOOKUP(C18,Mapping!$P:$P,Mapping!$R:$R)</f>
        <v>Echo District</v>
      </c>
      <c r="E18" s="0" t="str">
        <f aca="false">_xlfn.XLOOKUP(C18,Mapping!$P:$P,Mapping!$Q:$Q)</f>
        <v>ECHO29</v>
      </c>
      <c r="F18" s="0" t="n">
        <v>15</v>
      </c>
      <c r="G18" s="0" t="s">
        <v>544</v>
      </c>
      <c r="H18" s="0" t="s">
        <v>951</v>
      </c>
      <c r="I18" s="0" t="s">
        <v>982</v>
      </c>
      <c r="J18" s="0" t="s">
        <v>327</v>
      </c>
      <c r="K18" s="0" t="s">
        <v>947</v>
      </c>
      <c r="L18" s="0" t="s">
        <v>205</v>
      </c>
      <c r="M18" s="0" t="n">
        <v>150</v>
      </c>
      <c r="N18" s="0" t="s">
        <v>948</v>
      </c>
      <c r="Q18" s="1" t="n">
        <v>43032</v>
      </c>
      <c r="R18" s="1" t="n">
        <v>43093</v>
      </c>
      <c r="S18" s="0" t="n">
        <v>680000000</v>
      </c>
      <c r="T18" s="0" t="s">
        <v>983</v>
      </c>
      <c r="U18" s="0" t="s">
        <v>953</v>
      </c>
      <c r="V18" s="0" t="s">
        <v>958</v>
      </c>
      <c r="W18" s="0" t="s">
        <v>984</v>
      </c>
      <c r="Y18" s="0" t="s">
        <v>985</v>
      </c>
      <c r="Z18" s="0" t="s">
        <v>984</v>
      </c>
      <c r="AA18" s="0" t="s">
        <v>953</v>
      </c>
      <c r="AB18" s="0" t="s">
        <v>956</v>
      </c>
    </row>
    <row r="19" customFormat="false" ht="15" hidden="false" customHeight="false" outlineLevel="0" collapsed="false">
      <c r="C19" s="0" t="n">
        <v>100248</v>
      </c>
      <c r="D19" s="0" t="str">
        <f aca="false">_xlfn.XLOOKUP(C19,Mapping!$P:$P,Mapping!$R:$R)</f>
        <v>Rowan Student</v>
      </c>
      <c r="E19" s="0" t="str">
        <f aca="false">_xlfn.XLOOKUP(C19,Mapping!$P:$P,Mapping!$Q:$Q)</f>
        <v>ROWA42</v>
      </c>
      <c r="F19" s="0" t="n">
        <v>16</v>
      </c>
      <c r="G19" s="0" t="s">
        <v>434</v>
      </c>
      <c r="H19" s="0" t="s">
        <v>787</v>
      </c>
      <c r="I19" s="0" t="s">
        <v>986</v>
      </c>
      <c r="J19" s="0" t="s">
        <v>196</v>
      </c>
      <c r="K19" s="0" t="s">
        <v>947</v>
      </c>
      <c r="L19" s="0" t="s">
        <v>216</v>
      </c>
      <c r="M19" s="0" t="n">
        <v>40</v>
      </c>
      <c r="N19" s="0" t="s">
        <v>948</v>
      </c>
      <c r="Q19" s="1" t="n">
        <v>43152</v>
      </c>
      <c r="R19" s="1" t="n">
        <v>43211</v>
      </c>
      <c r="S19" s="0" t="n">
        <v>330000000</v>
      </c>
      <c r="T19" s="0" t="s">
        <v>938</v>
      </c>
      <c r="U19" s="0" t="s">
        <v>939</v>
      </c>
      <c r="V19" s="0" t="s">
        <v>958</v>
      </c>
      <c r="W19" s="0" t="s">
        <v>941</v>
      </c>
      <c r="Y19" s="0" t="s">
        <v>987</v>
      </c>
      <c r="Z19" s="0" t="s">
        <v>941</v>
      </c>
      <c r="AA19" s="0" t="s">
        <v>939</v>
      </c>
      <c r="AB19" s="0" t="s">
        <v>956</v>
      </c>
    </row>
    <row r="20" customFormat="false" ht="15" hidden="false" customHeight="false" outlineLevel="0" collapsed="false">
      <c r="C20" s="0" t="n">
        <v>100250</v>
      </c>
      <c r="D20" s="0" t="str">
        <f aca="false">_xlfn.XLOOKUP(C20,Mapping!$P:$P,Mapping!$R:$R)</f>
        <v>Sable Solar</v>
      </c>
      <c r="E20" s="0" t="str">
        <f aca="false">_xlfn.XLOOKUP(C20,Mapping!$P:$P,Mapping!$Q:$Q)</f>
        <v>SABL43</v>
      </c>
      <c r="F20" s="0" t="n">
        <v>17</v>
      </c>
      <c r="G20" s="0" t="s">
        <v>381</v>
      </c>
      <c r="H20" s="0" t="s">
        <v>787</v>
      </c>
      <c r="I20" s="0" t="s">
        <v>988</v>
      </c>
      <c r="J20" s="0" t="s">
        <v>234</v>
      </c>
      <c r="K20" s="0" t="s">
        <v>935</v>
      </c>
      <c r="L20" s="0" t="s">
        <v>269</v>
      </c>
      <c r="M20" s="0" t="n">
        <v>50</v>
      </c>
      <c r="N20" s="0" t="s">
        <v>948</v>
      </c>
      <c r="Q20" s="1" t="n">
        <v>43213</v>
      </c>
      <c r="R20" s="1" t="n">
        <v>43274</v>
      </c>
      <c r="S20" s="0" t="n">
        <v>380000000</v>
      </c>
      <c r="T20" s="0" t="s">
        <v>938</v>
      </c>
      <c r="U20" s="0" t="s">
        <v>939</v>
      </c>
      <c r="V20" s="0" t="s">
        <v>940</v>
      </c>
      <c r="W20" s="0" t="s">
        <v>949</v>
      </c>
      <c r="Y20" s="0" t="s">
        <v>989</v>
      </c>
      <c r="Z20" s="0" t="s">
        <v>949</v>
      </c>
      <c r="AA20" s="0" t="s">
        <v>953</v>
      </c>
      <c r="AB20" s="0" t="s">
        <v>956</v>
      </c>
    </row>
    <row r="21" customFormat="false" ht="15" hidden="false" customHeight="false" outlineLevel="0" collapsed="false">
      <c r="C21" s="0" t="n">
        <v>100202</v>
      </c>
      <c r="D21" s="0" t="str">
        <f aca="false">_xlfn.XLOOKUP(C21,Mapping!$P:$P,Mapping!$R:$R)</f>
        <v>Cascade Telecom</v>
      </c>
      <c r="E21" s="0" t="str">
        <f aca="false">_xlfn.XLOOKUP(C21,Mapping!$P:$P,Mapping!$Q:$Q)</f>
        <v>CASC03</v>
      </c>
      <c r="F21" s="0" t="n">
        <v>18</v>
      </c>
      <c r="G21" s="0" t="s">
        <v>246</v>
      </c>
      <c r="H21" s="0" t="s">
        <v>945</v>
      </c>
      <c r="I21" s="0" t="s">
        <v>990</v>
      </c>
      <c r="J21" s="0" t="s">
        <v>249</v>
      </c>
      <c r="K21" s="0" t="s">
        <v>935</v>
      </c>
      <c r="L21" s="0" t="s">
        <v>255</v>
      </c>
      <c r="M21" s="0" t="n">
        <v>50</v>
      </c>
      <c r="N21" s="0" t="s">
        <v>948</v>
      </c>
      <c r="Q21" s="1" t="n">
        <v>43353</v>
      </c>
      <c r="R21" s="1" t="n">
        <v>43414</v>
      </c>
      <c r="S21" s="0" t="n">
        <v>510000000</v>
      </c>
      <c r="T21" s="0" t="s">
        <v>938</v>
      </c>
      <c r="U21" s="0" t="s">
        <v>939</v>
      </c>
      <c r="V21" s="0" t="s">
        <v>940</v>
      </c>
      <c r="W21" s="0" t="s">
        <v>968</v>
      </c>
      <c r="Y21" s="0" t="s">
        <v>991</v>
      </c>
      <c r="Z21" s="0" t="s">
        <v>968</v>
      </c>
      <c r="AA21" s="0" t="s">
        <v>953</v>
      </c>
      <c r="AB21" s="0" t="s">
        <v>956</v>
      </c>
    </row>
    <row r="22" customFormat="false" ht="15" hidden="false" customHeight="false" outlineLevel="0" collapsed="false">
      <c r="C22" s="0" t="n">
        <v>100219</v>
      </c>
      <c r="D22" s="0" t="str">
        <f aca="false">_xlfn.XLOOKUP(C22,Mapping!$P:$P,Mapping!$R:$R)</f>
        <v>Quartz Battery</v>
      </c>
      <c r="E22" s="0" t="str">
        <f aca="false">_xlfn.XLOOKUP(C22,Mapping!$P:$P,Mapping!$Q:$Q)</f>
        <v>QUAR17</v>
      </c>
      <c r="F22" s="0" t="n">
        <v>19</v>
      </c>
      <c r="G22" s="0" t="s">
        <v>281</v>
      </c>
      <c r="H22" s="0" t="s">
        <v>787</v>
      </c>
      <c r="I22" s="0" t="s">
        <v>992</v>
      </c>
      <c r="J22" s="0" t="s">
        <v>384</v>
      </c>
      <c r="K22" s="0" t="s">
        <v>935</v>
      </c>
      <c r="L22" s="0" t="s">
        <v>220</v>
      </c>
      <c r="M22" s="0" t="n">
        <v>90</v>
      </c>
      <c r="N22" s="0" t="s">
        <v>948</v>
      </c>
      <c r="Q22" s="1" t="n">
        <v>43418</v>
      </c>
      <c r="R22" s="1" t="n">
        <v>43479</v>
      </c>
      <c r="S22" s="0" t="n">
        <v>360000000</v>
      </c>
      <c r="T22" s="0" t="s">
        <v>213</v>
      </c>
      <c r="U22" s="0" t="s">
        <v>953</v>
      </c>
      <c r="V22" s="0" t="s">
        <v>940</v>
      </c>
      <c r="W22" s="0" t="s">
        <v>984</v>
      </c>
      <c r="Y22" s="0" t="s">
        <v>993</v>
      </c>
      <c r="Z22" s="0" t="s">
        <v>984</v>
      </c>
      <c r="AA22" s="0" t="s">
        <v>953</v>
      </c>
      <c r="AB22" s="0" t="s">
        <v>956</v>
      </c>
    </row>
    <row r="23" customFormat="false" ht="15" hidden="false" customHeight="false" outlineLevel="0" collapsed="false">
      <c r="C23" s="0" t="n">
        <v>100228</v>
      </c>
      <c r="D23" s="0" t="str">
        <f aca="false">_xlfn.XLOOKUP(C23,Mapping!$P:$P,Mapping!$R:$R)</f>
        <v>Alder Offshore</v>
      </c>
      <c r="E23" s="0" t="str">
        <f aca="false">_xlfn.XLOOKUP(C23,Mapping!$P:$P,Mapping!$Q:$Q)</f>
        <v>ALDE25</v>
      </c>
      <c r="F23" s="0" t="n">
        <v>20</v>
      </c>
      <c r="G23" s="0" t="s">
        <v>192</v>
      </c>
      <c r="H23" s="0" t="s">
        <v>951</v>
      </c>
      <c r="I23" s="0" t="s">
        <v>994</v>
      </c>
      <c r="J23" s="0" t="s">
        <v>196</v>
      </c>
      <c r="K23" s="0" t="s">
        <v>947</v>
      </c>
      <c r="L23" s="0" t="s">
        <v>205</v>
      </c>
      <c r="M23" s="0" t="n">
        <v>95</v>
      </c>
      <c r="N23" s="0" t="s">
        <v>948</v>
      </c>
      <c r="Q23" s="1" t="n">
        <v>43513</v>
      </c>
      <c r="R23" s="1" t="n">
        <v>43572</v>
      </c>
      <c r="S23" s="0" t="n">
        <v>640000000</v>
      </c>
      <c r="T23" s="0" t="s">
        <v>213</v>
      </c>
      <c r="U23" s="0" t="s">
        <v>953</v>
      </c>
      <c r="V23" s="0" t="s">
        <v>958</v>
      </c>
      <c r="W23" s="0" t="s">
        <v>949</v>
      </c>
      <c r="Y23" s="0" t="s">
        <v>995</v>
      </c>
      <c r="Z23" s="0" t="s">
        <v>949</v>
      </c>
      <c r="AA23" s="0" t="s">
        <v>943</v>
      </c>
      <c r="AB23" s="0" t="s">
        <v>956</v>
      </c>
    </row>
    <row r="24" customFormat="false" ht="15" hidden="false" customHeight="false" outlineLevel="0" collapsed="false">
      <c r="C24" s="0" t="n">
        <v>100254</v>
      </c>
      <c r="D24" s="0" t="str">
        <f aca="false">_xlfn.XLOOKUP(C24,Mapping!$P:$P,Mapping!$R:$R)</f>
        <v>Wren EV</v>
      </c>
      <c r="E24" s="0" t="str">
        <f aca="false">_xlfn.XLOOKUP(C24,Mapping!$P:$P,Mapping!$Q:$Q)</f>
        <v>WREN47</v>
      </c>
      <c r="F24" s="0" t="n">
        <v>21</v>
      </c>
      <c r="G24" s="0" t="s">
        <v>483</v>
      </c>
      <c r="H24" s="0" t="s">
        <v>951</v>
      </c>
      <c r="I24" s="0" t="s">
        <v>996</v>
      </c>
      <c r="J24" s="0" t="s">
        <v>384</v>
      </c>
      <c r="K24" s="0" t="s">
        <v>947</v>
      </c>
      <c r="L24" s="0" t="s">
        <v>220</v>
      </c>
      <c r="M24" s="0" t="n">
        <v>55</v>
      </c>
      <c r="N24" s="0" t="s">
        <v>948</v>
      </c>
      <c r="Q24" s="1" t="n">
        <v>43531</v>
      </c>
      <c r="R24" s="1" t="n">
        <v>43592</v>
      </c>
      <c r="S24" s="0" t="n">
        <v>380000000</v>
      </c>
      <c r="T24" s="0" t="s">
        <v>938</v>
      </c>
      <c r="U24" s="0" t="s">
        <v>939</v>
      </c>
      <c r="V24" s="0" t="s">
        <v>940</v>
      </c>
      <c r="W24" s="0" t="s">
        <v>984</v>
      </c>
      <c r="Y24" s="0" t="s">
        <v>997</v>
      </c>
      <c r="Z24" s="0" t="s">
        <v>984</v>
      </c>
      <c r="AA24" s="0" t="s">
        <v>939</v>
      </c>
      <c r="AB24" s="0" t="s">
        <v>956</v>
      </c>
    </row>
    <row r="25" customFormat="false" ht="15" hidden="false" customHeight="false" outlineLevel="0" collapsed="false">
      <c r="C25" s="0" t="n">
        <v>100245</v>
      </c>
      <c r="D25" s="0" t="str">
        <f aca="false">_xlfn.XLOOKUP(C25,Mapping!$P:$P,Mapping!$R:$R)</f>
        <v>Prism Gas</v>
      </c>
      <c r="E25" s="0" t="str">
        <f aca="false">_xlfn.XLOOKUP(C25,Mapping!$P:$P,Mapping!$Q:$Q)</f>
        <v>PRIS40</v>
      </c>
      <c r="F25" s="0" t="n">
        <v>22</v>
      </c>
      <c r="G25" s="0" t="s">
        <v>347</v>
      </c>
      <c r="H25" s="0" t="s">
        <v>945</v>
      </c>
      <c r="I25" s="0" t="s">
        <v>998</v>
      </c>
      <c r="J25" s="0" t="s">
        <v>299</v>
      </c>
      <c r="K25" s="0" t="s">
        <v>935</v>
      </c>
      <c r="L25" s="0" t="s">
        <v>216</v>
      </c>
      <c r="M25" s="0" t="n">
        <v>130</v>
      </c>
      <c r="N25" s="0" t="s">
        <v>948</v>
      </c>
      <c r="Q25" s="1" t="n">
        <v>43629</v>
      </c>
      <c r="R25" s="1" t="n">
        <v>43690</v>
      </c>
      <c r="S25" s="0" t="n">
        <v>170000000</v>
      </c>
      <c r="T25" s="0" t="s">
        <v>213</v>
      </c>
      <c r="U25" s="0" t="s">
        <v>939</v>
      </c>
      <c r="V25" s="0" t="s">
        <v>958</v>
      </c>
      <c r="W25" s="0" t="s">
        <v>954</v>
      </c>
      <c r="Y25" s="0" t="s">
        <v>999</v>
      </c>
      <c r="Z25" s="0" t="s">
        <v>954</v>
      </c>
      <c r="AA25" s="0" t="s">
        <v>939</v>
      </c>
      <c r="AB25" s="0" t="s">
        <v>956</v>
      </c>
    </row>
    <row r="26" customFormat="false" ht="15" hidden="false" customHeight="false" outlineLevel="0" collapsed="false">
      <c r="C26" s="0" t="n">
        <v>100211</v>
      </c>
      <c r="D26" s="0" t="str">
        <f aca="false">_xlfn.XLOOKUP(C26,Mapping!$P:$P,Mapping!$R:$R)</f>
        <v>Juniper Gas</v>
      </c>
      <c r="E26" s="0" t="str">
        <f aca="false">_xlfn.XLOOKUP(C26,Mapping!$P:$P,Mapping!$Q:$Q)</f>
        <v>JUNI10</v>
      </c>
      <c r="F26" s="0" t="n">
        <v>23</v>
      </c>
      <c r="G26" s="0" t="s">
        <v>347</v>
      </c>
      <c r="H26" s="0" t="s">
        <v>951</v>
      </c>
      <c r="I26" s="0" t="s">
        <v>1000</v>
      </c>
      <c r="J26" s="0" t="s">
        <v>249</v>
      </c>
      <c r="K26" s="0" t="s">
        <v>947</v>
      </c>
      <c r="L26" s="0" t="s">
        <v>224</v>
      </c>
      <c r="M26" s="0" t="n">
        <v>140</v>
      </c>
      <c r="N26" s="0" t="s">
        <v>948</v>
      </c>
      <c r="Q26" s="1" t="n">
        <v>43733</v>
      </c>
      <c r="R26" s="1" t="n">
        <v>43794</v>
      </c>
      <c r="S26" s="0" t="n">
        <v>230000000</v>
      </c>
      <c r="T26" s="0" t="s">
        <v>938</v>
      </c>
      <c r="U26" s="0" t="s">
        <v>953</v>
      </c>
      <c r="V26" s="0" t="s">
        <v>958</v>
      </c>
      <c r="W26" s="0" t="s">
        <v>954</v>
      </c>
      <c r="Y26" s="0" t="s">
        <v>1001</v>
      </c>
      <c r="Z26" s="0" t="s">
        <v>954</v>
      </c>
      <c r="AA26" s="0" t="s">
        <v>943</v>
      </c>
      <c r="AB26" s="0" t="s">
        <v>956</v>
      </c>
    </row>
    <row r="27" customFormat="false" ht="15" hidden="false" customHeight="false" outlineLevel="0" collapsed="false">
      <c r="C27" s="0" t="n">
        <v>100223</v>
      </c>
      <c r="D27" s="0" t="str">
        <f aca="false">_xlfn.XLOOKUP(C27,Mapping!$P:$P,Mapping!$R:$R)</f>
        <v>Umbra Data</v>
      </c>
      <c r="E27" s="0" t="str">
        <f aca="false">_xlfn.XLOOKUP(C27,Mapping!$P:$P,Mapping!$Q:$Q)</f>
        <v>UMBR21</v>
      </c>
      <c r="F27" s="0" t="n">
        <v>24</v>
      </c>
      <c r="G27" s="0" t="s">
        <v>464</v>
      </c>
      <c r="H27" s="0" t="s">
        <v>945</v>
      </c>
      <c r="I27" s="0" t="s">
        <v>1002</v>
      </c>
      <c r="J27" s="0" t="s">
        <v>327</v>
      </c>
      <c r="K27" s="0" t="s">
        <v>935</v>
      </c>
      <c r="L27" s="0" t="s">
        <v>269</v>
      </c>
      <c r="M27" s="0" t="n">
        <v>30</v>
      </c>
      <c r="N27" s="0" t="s">
        <v>948</v>
      </c>
      <c r="Q27" s="1" t="n">
        <v>43826</v>
      </c>
      <c r="R27" s="1" t="n">
        <v>43888</v>
      </c>
      <c r="S27" s="0" t="n">
        <v>540000000</v>
      </c>
      <c r="T27" s="0" t="s">
        <v>938</v>
      </c>
      <c r="U27" s="0" t="s">
        <v>939</v>
      </c>
      <c r="V27" s="0" t="s">
        <v>958</v>
      </c>
      <c r="W27" s="0" t="s">
        <v>968</v>
      </c>
      <c r="Y27" s="0" t="s">
        <v>1003</v>
      </c>
      <c r="Z27" s="0" t="s">
        <v>968</v>
      </c>
      <c r="AA27" s="0" t="s">
        <v>943</v>
      </c>
      <c r="AB27" s="0" t="s">
        <v>956</v>
      </c>
    </row>
    <row r="28" customFormat="false" ht="15" hidden="false" customHeight="false" outlineLevel="0" collapsed="false">
      <c r="C28" s="0" t="n">
        <v>100244</v>
      </c>
      <c r="D28" s="0" t="str">
        <f aca="false">_xlfn.XLOOKUP(C28,Mapping!$P:$P,Mapping!$R:$R)</f>
        <v>Opal Telecom</v>
      </c>
      <c r="E28" s="0" t="str">
        <f aca="false">_xlfn.XLOOKUP(C28,Mapping!$P:$P,Mapping!$Q:$Q)</f>
        <v>OPAL39</v>
      </c>
      <c r="F28" s="0" t="n">
        <v>25</v>
      </c>
      <c r="G28" s="0" t="s">
        <v>246</v>
      </c>
      <c r="H28" s="0" t="s">
        <v>951</v>
      </c>
      <c r="I28" s="0" t="s">
        <v>1004</v>
      </c>
      <c r="J28" s="0" t="s">
        <v>234</v>
      </c>
      <c r="K28" s="0" t="s">
        <v>947</v>
      </c>
      <c r="L28" s="0" t="s">
        <v>224</v>
      </c>
      <c r="M28" s="0" t="n">
        <v>45</v>
      </c>
      <c r="N28" s="0" t="s">
        <v>948</v>
      </c>
      <c r="Q28" s="1" t="n">
        <v>43865</v>
      </c>
      <c r="R28" s="1" t="n">
        <v>43925</v>
      </c>
      <c r="S28" s="0" t="n">
        <v>360000000</v>
      </c>
      <c r="T28" s="0" t="s">
        <v>938</v>
      </c>
      <c r="U28" s="0" t="s">
        <v>939</v>
      </c>
      <c r="V28" s="0" t="s">
        <v>940</v>
      </c>
      <c r="W28" s="0" t="s">
        <v>968</v>
      </c>
      <c r="Y28" s="0" t="s">
        <v>1005</v>
      </c>
      <c r="Z28" s="0" t="s">
        <v>968</v>
      </c>
      <c r="AA28" s="0" t="s">
        <v>939</v>
      </c>
      <c r="AB28" s="0" t="s">
        <v>956</v>
      </c>
    </row>
    <row r="29" customFormat="false" ht="15" hidden="false" customHeight="false" outlineLevel="0" collapsed="false">
      <c r="C29" s="0" t="n">
        <v>100235</v>
      </c>
      <c r="D29" s="0" t="str">
        <f aca="false">_xlfn.XLOOKUP(C29,Mapping!$P:$P,Mapping!$R:$R)</f>
        <v>Glacier Hydro</v>
      </c>
      <c r="E29" s="0" t="str">
        <f aca="false">_xlfn.XLOOKUP(C29,Mapping!$P:$P,Mapping!$Q:$Q)</f>
        <v>GLAC31</v>
      </c>
      <c r="F29" s="0" t="n">
        <v>26</v>
      </c>
      <c r="G29" s="0" t="s">
        <v>309</v>
      </c>
      <c r="H29" s="0" t="s">
        <v>951</v>
      </c>
      <c r="I29" s="0" t="s">
        <v>1006</v>
      </c>
      <c r="J29" s="0" t="s">
        <v>312</v>
      </c>
      <c r="K29" s="0" t="s">
        <v>947</v>
      </c>
      <c r="L29" s="0" t="s">
        <v>224</v>
      </c>
      <c r="M29" s="0" t="n">
        <v>135</v>
      </c>
      <c r="N29" s="0" t="s">
        <v>948</v>
      </c>
      <c r="Q29" s="1" t="n">
        <v>43938</v>
      </c>
      <c r="R29" s="1" t="n">
        <v>43999</v>
      </c>
      <c r="S29" s="0" t="n">
        <v>230000000</v>
      </c>
      <c r="T29" s="0" t="s">
        <v>938</v>
      </c>
      <c r="U29" s="0" t="s">
        <v>939</v>
      </c>
      <c r="V29" s="0" t="s">
        <v>958</v>
      </c>
      <c r="W29" s="0" t="s">
        <v>949</v>
      </c>
      <c r="Y29" s="0" t="s">
        <v>1007</v>
      </c>
      <c r="Z29" s="0" t="s">
        <v>949</v>
      </c>
      <c r="AA29" s="0" t="s">
        <v>939</v>
      </c>
      <c r="AB29" s="0" t="s">
        <v>956</v>
      </c>
    </row>
    <row r="30" customFormat="false" ht="15" hidden="false" customHeight="false" outlineLevel="0" collapsed="false">
      <c r="C30" s="0" t="n">
        <v>100224</v>
      </c>
      <c r="D30" s="0" t="str">
        <f aca="false">_xlfn.XLOOKUP(C30,Mapping!$P:$P,Mapping!$R:$R)</f>
        <v>Vertex Electricity</v>
      </c>
      <c r="E30" s="0" t="str">
        <f aca="false">_xlfn.XLOOKUP(C30,Mapping!$P:$P,Mapping!$Q:$Q)</f>
        <v>VERT22</v>
      </c>
      <c r="F30" s="0" t="n">
        <v>27</v>
      </c>
      <c r="G30" s="0" t="s">
        <v>473</v>
      </c>
      <c r="H30" s="0" t="s">
        <v>787</v>
      </c>
      <c r="I30" s="0" t="s">
        <v>1008</v>
      </c>
      <c r="J30" s="0" t="s">
        <v>234</v>
      </c>
      <c r="K30" s="0" t="s">
        <v>947</v>
      </c>
      <c r="L30" s="0" t="s">
        <v>269</v>
      </c>
      <c r="M30" s="0" t="n">
        <v>140</v>
      </c>
      <c r="N30" s="0" t="s">
        <v>936</v>
      </c>
      <c r="O30" s="0" t="s">
        <v>937</v>
      </c>
      <c r="P30" s="1" t="n">
        <v>45558</v>
      </c>
      <c r="Q30" s="1" t="n">
        <v>44035</v>
      </c>
      <c r="R30" s="1" t="n">
        <v>44097</v>
      </c>
      <c r="S30" s="0" t="n">
        <v>420000000</v>
      </c>
      <c r="T30" s="0" t="s">
        <v>938</v>
      </c>
      <c r="U30" s="0" t="s">
        <v>953</v>
      </c>
      <c r="V30" s="0" t="s">
        <v>958</v>
      </c>
      <c r="W30" s="0" t="s">
        <v>954</v>
      </c>
      <c r="Y30" s="0" t="s">
        <v>1009</v>
      </c>
      <c r="Z30" s="0" t="s">
        <v>954</v>
      </c>
      <c r="AA30" s="0" t="s">
        <v>943</v>
      </c>
      <c r="AB30" s="0" t="s">
        <v>956</v>
      </c>
    </row>
    <row r="31" customFormat="false" ht="15" hidden="false" customHeight="false" outlineLevel="0" collapsed="false">
      <c r="C31" s="0" t="n">
        <v>100220</v>
      </c>
      <c r="D31" s="0" t="str">
        <f aca="false">_xlfn.XLOOKUP(C31,Mapping!$P:$P,Mapping!$R:$R)</f>
        <v>Ridge Student</v>
      </c>
      <c r="E31" s="0" t="str">
        <f aca="false">_xlfn.XLOOKUP(C31,Mapping!$P:$P,Mapping!$Q:$Q)</f>
        <v>RIDG18</v>
      </c>
      <c r="F31" s="0" t="n">
        <v>28</v>
      </c>
      <c r="G31" s="0" t="s">
        <v>434</v>
      </c>
      <c r="H31" s="0" t="s">
        <v>951</v>
      </c>
      <c r="I31" s="0" t="s">
        <v>1010</v>
      </c>
      <c r="J31" s="0" t="s">
        <v>299</v>
      </c>
      <c r="K31" s="0" t="s">
        <v>947</v>
      </c>
      <c r="L31" s="0" t="s">
        <v>224</v>
      </c>
      <c r="M31" s="0" t="n">
        <v>55</v>
      </c>
      <c r="N31" s="0" t="s">
        <v>948</v>
      </c>
      <c r="Q31" s="1" t="n">
        <v>44140</v>
      </c>
      <c r="R31" s="1" t="n">
        <v>44201</v>
      </c>
      <c r="S31" s="0" t="n">
        <v>120000000</v>
      </c>
      <c r="T31" s="0" t="s">
        <v>938</v>
      </c>
      <c r="U31" s="0" t="s">
        <v>939</v>
      </c>
      <c r="V31" s="0" t="s">
        <v>940</v>
      </c>
      <c r="W31" s="0" t="s">
        <v>941</v>
      </c>
      <c r="Y31" s="0" t="s">
        <v>1011</v>
      </c>
      <c r="Z31" s="0" t="s">
        <v>941</v>
      </c>
      <c r="AA31" s="0" t="s">
        <v>939</v>
      </c>
      <c r="AB31" s="0" t="s">
        <v>956</v>
      </c>
    </row>
    <row r="32" customFormat="false" ht="15" hidden="false" customHeight="false" outlineLevel="0" collapsed="false">
      <c r="C32" s="0" t="n">
        <v>100217</v>
      </c>
      <c r="D32" s="0" t="str">
        <f aca="false">_xlfn.XLOOKUP(C32,Mapping!$P:$P,Mapping!$R:$R)</f>
        <v>Orion Fibre</v>
      </c>
      <c r="E32" s="0" t="str">
        <f aca="false">_xlfn.XLOOKUP(C32,Mapping!$P:$P,Mapping!$Q:$Q)</f>
        <v>ORIO15</v>
      </c>
      <c r="F32" s="0" t="n">
        <v>29</v>
      </c>
      <c r="G32" s="0" t="s">
        <v>336</v>
      </c>
      <c r="H32" s="0" t="s">
        <v>787</v>
      </c>
      <c r="I32" s="0" t="s">
        <v>1012</v>
      </c>
      <c r="J32" s="0" t="s">
        <v>327</v>
      </c>
      <c r="K32" s="0" t="s">
        <v>947</v>
      </c>
      <c r="L32" s="0" t="s">
        <v>224</v>
      </c>
      <c r="M32" s="0" t="n">
        <v>145</v>
      </c>
      <c r="N32" s="0" t="s">
        <v>948</v>
      </c>
      <c r="Q32" s="1" t="n">
        <v>44160</v>
      </c>
      <c r="R32" s="1" t="n">
        <v>44221</v>
      </c>
      <c r="S32" s="0" t="n">
        <v>220000000</v>
      </c>
      <c r="T32" s="0" t="s">
        <v>938</v>
      </c>
      <c r="U32" s="0" t="s">
        <v>939</v>
      </c>
      <c r="V32" s="0" t="s">
        <v>940</v>
      </c>
      <c r="W32" s="0" t="s">
        <v>968</v>
      </c>
      <c r="Y32" s="0" t="s">
        <v>1013</v>
      </c>
      <c r="Z32" s="0" t="s">
        <v>968</v>
      </c>
      <c r="AA32" s="0" t="s">
        <v>943</v>
      </c>
      <c r="AB32" s="0" t="s">
        <v>956</v>
      </c>
    </row>
    <row r="33" customFormat="false" ht="15" hidden="false" customHeight="false" outlineLevel="0" collapsed="false">
      <c r="C33" s="0" t="n">
        <v>100252</v>
      </c>
      <c r="D33" s="0" t="str">
        <f aca="false">_xlfn.XLOOKUP(C33,Mapping!$P:$P,Mapping!$R:$R)</f>
        <v>Ultra Fibre</v>
      </c>
      <c r="E33" s="0" t="str">
        <f aca="false">_xlfn.XLOOKUP(C33,Mapping!$P:$P,Mapping!$Q:$Q)</f>
        <v>ULTR45</v>
      </c>
      <c r="F33" s="0" t="n">
        <v>30</v>
      </c>
      <c r="G33" s="0" t="s">
        <v>336</v>
      </c>
      <c r="H33" s="0" t="s">
        <v>951</v>
      </c>
      <c r="I33" s="0" t="s">
        <v>1014</v>
      </c>
      <c r="J33" s="0" t="s">
        <v>384</v>
      </c>
      <c r="K33" s="0" t="s">
        <v>947</v>
      </c>
      <c r="L33" s="0" t="s">
        <v>205</v>
      </c>
      <c r="M33" s="0" t="n">
        <v>60</v>
      </c>
      <c r="N33" s="0" t="s">
        <v>948</v>
      </c>
      <c r="Q33" s="1" t="n">
        <v>44179</v>
      </c>
      <c r="R33" s="1" t="n">
        <v>44241</v>
      </c>
      <c r="S33" s="0" t="n">
        <v>650000000</v>
      </c>
      <c r="T33" s="0" t="s">
        <v>938</v>
      </c>
      <c r="U33" s="0" t="s">
        <v>939</v>
      </c>
      <c r="V33" s="0" t="s">
        <v>958</v>
      </c>
      <c r="W33" s="0" t="s">
        <v>968</v>
      </c>
      <c r="Y33" s="0" t="s">
        <v>1015</v>
      </c>
      <c r="Z33" s="0" t="s">
        <v>968</v>
      </c>
      <c r="AA33" s="0" t="s">
        <v>943</v>
      </c>
      <c r="AB33" s="0" t="s">
        <v>956</v>
      </c>
    </row>
    <row r="34" customFormat="false" ht="15" hidden="false" customHeight="false" outlineLevel="0" collapsed="false">
      <c r="C34" s="0" t="n">
        <v>100247</v>
      </c>
      <c r="D34" s="0" t="str">
        <f aca="false">_xlfn.XLOOKUP(C34,Mapping!$P:$P,Mapping!$R:$R)</f>
        <v>Quill District</v>
      </c>
      <c r="E34" s="0" t="str">
        <f aca="false">_xlfn.XLOOKUP(C34,Mapping!$P:$P,Mapping!$Q:$Q)</f>
        <v>QUIL41</v>
      </c>
      <c r="F34" s="0" t="n">
        <v>31</v>
      </c>
      <c r="G34" s="0" t="s">
        <v>544</v>
      </c>
      <c r="H34" s="0" t="s">
        <v>787</v>
      </c>
      <c r="I34" s="0" t="s">
        <v>1016</v>
      </c>
      <c r="J34" s="0" t="s">
        <v>234</v>
      </c>
      <c r="K34" s="0" t="s">
        <v>947</v>
      </c>
      <c r="L34" s="0" t="s">
        <v>205</v>
      </c>
      <c r="M34" s="0" t="n">
        <v>60</v>
      </c>
      <c r="N34" s="0" t="s">
        <v>936</v>
      </c>
      <c r="O34" s="0" t="s">
        <v>937</v>
      </c>
      <c r="P34" s="1" t="n">
        <v>46534</v>
      </c>
      <c r="Q34" s="1" t="n">
        <v>44223</v>
      </c>
      <c r="R34" s="1" t="n">
        <v>44282</v>
      </c>
      <c r="S34" s="0" t="n">
        <v>200000000</v>
      </c>
      <c r="T34" s="0" t="s">
        <v>938</v>
      </c>
      <c r="U34" s="0" t="s">
        <v>939</v>
      </c>
      <c r="V34" s="0" t="s">
        <v>940</v>
      </c>
      <c r="W34" s="0" t="s">
        <v>984</v>
      </c>
      <c r="Y34" s="0" t="s">
        <v>1017</v>
      </c>
      <c r="Z34" s="0" t="s">
        <v>984</v>
      </c>
      <c r="AA34" s="0" t="s">
        <v>943</v>
      </c>
      <c r="AB34" s="0" t="s">
        <v>956</v>
      </c>
    </row>
    <row r="35" customFormat="false" ht="15" hidden="false" customHeight="false" outlineLevel="0" collapsed="false">
      <c r="C35" s="0" t="n">
        <v>100222</v>
      </c>
      <c r="D35" s="0" t="str">
        <f aca="false">_xlfn.XLOOKUP(C35,Mapping!$P:$P,Mapping!$R:$R)</f>
        <v>Tidal Toll</v>
      </c>
      <c r="E35" s="0" t="str">
        <f aca="false">_xlfn.XLOOKUP(C35,Mapping!$P:$P,Mapping!$Q:$Q)</f>
        <v>TIDA20</v>
      </c>
      <c r="F35" s="0" t="n">
        <v>32</v>
      </c>
      <c r="G35" s="0" t="s">
        <v>324</v>
      </c>
      <c r="H35" s="0" t="s">
        <v>787</v>
      </c>
      <c r="I35" s="0" t="s">
        <v>1018</v>
      </c>
      <c r="J35" s="0" t="s">
        <v>327</v>
      </c>
      <c r="K35" s="0" t="s">
        <v>947</v>
      </c>
      <c r="L35" s="0" t="s">
        <v>255</v>
      </c>
      <c r="M35" s="0" t="n">
        <v>95</v>
      </c>
      <c r="N35" s="0" t="s">
        <v>948</v>
      </c>
      <c r="Q35" s="1" t="n">
        <v>44233</v>
      </c>
      <c r="R35" s="1" t="n">
        <v>44292</v>
      </c>
      <c r="S35" s="0" t="n">
        <v>340000000</v>
      </c>
      <c r="T35" s="0" t="s">
        <v>938</v>
      </c>
      <c r="U35" s="0" t="s">
        <v>939</v>
      </c>
      <c r="V35" s="0" t="s">
        <v>958</v>
      </c>
      <c r="W35" s="0" t="s">
        <v>959</v>
      </c>
      <c r="Y35" s="0" t="s">
        <v>1019</v>
      </c>
      <c r="Z35" s="0" t="s">
        <v>959</v>
      </c>
      <c r="AA35" s="0" t="s">
        <v>953</v>
      </c>
      <c r="AB35" s="0" t="s">
        <v>956</v>
      </c>
    </row>
    <row r="36" customFormat="false" ht="15" hidden="false" customHeight="false" outlineLevel="0" collapsed="false">
      <c r="C36" s="0" t="n">
        <v>100212</v>
      </c>
      <c r="D36" s="0" t="str">
        <f aca="false">_xlfn.XLOOKUP(C36,Mapping!$P:$P,Mapping!$R:$R)</f>
        <v>Kestrel Battery</v>
      </c>
      <c r="E36" s="0" t="str">
        <f aca="false">_xlfn.XLOOKUP(C36,Mapping!$P:$P,Mapping!$Q:$Q)</f>
        <v>KEST11</v>
      </c>
      <c r="F36" s="0" t="n">
        <v>33</v>
      </c>
      <c r="G36" s="0" t="s">
        <v>281</v>
      </c>
      <c r="H36" s="0" t="s">
        <v>951</v>
      </c>
      <c r="I36" s="0" t="s">
        <v>1020</v>
      </c>
      <c r="J36" s="0" t="s">
        <v>312</v>
      </c>
      <c r="K36" s="0" t="s">
        <v>947</v>
      </c>
      <c r="L36" s="0" t="s">
        <v>205</v>
      </c>
      <c r="M36" s="0" t="n">
        <v>75</v>
      </c>
      <c r="N36" s="0" t="s">
        <v>948</v>
      </c>
      <c r="Q36" s="1" t="n">
        <v>44241</v>
      </c>
      <c r="R36" s="1" t="n">
        <v>44300</v>
      </c>
      <c r="S36" s="0" t="n">
        <v>160000000</v>
      </c>
      <c r="T36" s="0" t="s">
        <v>938</v>
      </c>
      <c r="U36" s="0" t="s">
        <v>939</v>
      </c>
      <c r="V36" s="0" t="s">
        <v>958</v>
      </c>
      <c r="W36" s="0" t="s">
        <v>984</v>
      </c>
      <c r="Y36" s="0" t="s">
        <v>1021</v>
      </c>
      <c r="Z36" s="0" t="s">
        <v>984</v>
      </c>
      <c r="AA36" s="0" t="s">
        <v>953</v>
      </c>
      <c r="AB36" s="0" t="s">
        <v>956</v>
      </c>
    </row>
    <row r="37" customFormat="false" ht="15" hidden="false" customHeight="false" outlineLevel="0" collapsed="false">
      <c r="C37" s="0" t="n">
        <v>100236</v>
      </c>
      <c r="D37" s="0" t="str">
        <f aca="false">_xlfn.XLOOKUP(C37,Mapping!$P:$P,Mapping!$R:$R)</f>
        <v>Horizon Airports</v>
      </c>
      <c r="E37" s="0" t="str">
        <f aca="false">_xlfn.XLOOKUP(C37,Mapping!$P:$P,Mapping!$Q:$Q)</f>
        <v>HORI32</v>
      </c>
      <c r="F37" s="0" t="n">
        <v>34</v>
      </c>
      <c r="G37" s="0" t="s">
        <v>231</v>
      </c>
      <c r="H37" s="0" t="s">
        <v>787</v>
      </c>
      <c r="I37" s="0" t="s">
        <v>1022</v>
      </c>
      <c r="J37" s="0" t="s">
        <v>234</v>
      </c>
      <c r="K37" s="0" t="s">
        <v>947</v>
      </c>
      <c r="L37" s="0" t="s">
        <v>224</v>
      </c>
      <c r="M37" s="0" t="n">
        <v>140</v>
      </c>
      <c r="N37" s="0" t="s">
        <v>936</v>
      </c>
      <c r="O37" s="0" t="s">
        <v>937</v>
      </c>
      <c r="P37" s="1" t="n">
        <v>47757</v>
      </c>
      <c r="Q37" s="1" t="n">
        <v>44256</v>
      </c>
      <c r="R37" s="1" t="n">
        <v>44317</v>
      </c>
      <c r="S37" s="0" t="n">
        <v>670000000</v>
      </c>
      <c r="T37" s="0" t="s">
        <v>938</v>
      </c>
      <c r="U37" s="0" t="s">
        <v>939</v>
      </c>
      <c r="V37" s="0" t="s">
        <v>958</v>
      </c>
      <c r="W37" s="0" t="s">
        <v>959</v>
      </c>
      <c r="Y37" s="0" t="s">
        <v>1023</v>
      </c>
      <c r="Z37" s="0" t="s">
        <v>959</v>
      </c>
      <c r="AA37" s="0" t="s">
        <v>953</v>
      </c>
      <c r="AB37" s="0" t="s">
        <v>956</v>
      </c>
    </row>
    <row r="38" customFormat="false" ht="15" hidden="false" customHeight="false" outlineLevel="0" collapsed="false">
      <c r="C38" s="0" t="n">
        <v>100237</v>
      </c>
      <c r="D38" s="0" t="str">
        <f aca="false">_xlfn.XLOOKUP(C38,Mapping!$P:$P,Mapping!$R:$R)</f>
        <v>Indigo Fibre</v>
      </c>
      <c r="E38" s="0" t="str">
        <f aca="false">_xlfn.XLOOKUP(C38,Mapping!$P:$P,Mapping!$Q:$Q)</f>
        <v>INDI33</v>
      </c>
      <c r="F38" s="0" t="n">
        <v>35</v>
      </c>
      <c r="G38" s="0" t="s">
        <v>336</v>
      </c>
      <c r="H38" s="0" t="s">
        <v>787</v>
      </c>
      <c r="I38" s="0" t="s">
        <v>1024</v>
      </c>
      <c r="J38" s="0" t="s">
        <v>384</v>
      </c>
      <c r="K38" s="0" t="s">
        <v>947</v>
      </c>
      <c r="L38" s="0" t="s">
        <v>205</v>
      </c>
      <c r="M38" s="0" t="n">
        <v>105</v>
      </c>
      <c r="N38" s="0" t="s">
        <v>948</v>
      </c>
      <c r="Q38" s="1" t="n">
        <v>44269</v>
      </c>
      <c r="R38" s="1" t="n">
        <v>44330</v>
      </c>
      <c r="S38" s="0" t="n">
        <v>260000000</v>
      </c>
      <c r="T38" s="0" t="s">
        <v>938</v>
      </c>
      <c r="U38" s="0" t="s">
        <v>953</v>
      </c>
      <c r="V38" s="0" t="s">
        <v>958</v>
      </c>
      <c r="W38" s="0" t="s">
        <v>968</v>
      </c>
      <c r="X38" s="0" t="n">
        <v>0.8564</v>
      </c>
      <c r="Y38" s="0" t="s">
        <v>1025</v>
      </c>
      <c r="Z38" s="0" t="s">
        <v>968</v>
      </c>
      <c r="AA38" s="0" t="s">
        <v>939</v>
      </c>
      <c r="AB38" s="0" t="s">
        <v>956</v>
      </c>
    </row>
    <row r="39" customFormat="false" ht="15" hidden="false" customHeight="false" outlineLevel="0" collapsed="false">
      <c r="C39" s="0" t="n">
        <v>100221</v>
      </c>
      <c r="D39" s="0" t="str">
        <f aca="false">_xlfn.XLOOKUP(C39,Mapping!$P:$P,Mapping!$R:$R)</f>
        <v>Summit Hydro</v>
      </c>
      <c r="E39" s="0" t="str">
        <f aca="false">_xlfn.XLOOKUP(C39,Mapping!$P:$P,Mapping!$Q:$Q)</f>
        <v>SUMM19</v>
      </c>
      <c r="F39" s="0" t="n">
        <v>36</v>
      </c>
      <c r="G39" s="0" t="s">
        <v>309</v>
      </c>
      <c r="H39" s="0" t="s">
        <v>787</v>
      </c>
      <c r="I39" s="0" t="s">
        <v>1026</v>
      </c>
      <c r="J39" s="0" t="s">
        <v>284</v>
      </c>
      <c r="K39" s="0" t="s">
        <v>947</v>
      </c>
      <c r="L39" s="0" t="s">
        <v>205</v>
      </c>
      <c r="M39" s="0" t="n">
        <v>130</v>
      </c>
      <c r="N39" s="0" t="s">
        <v>948</v>
      </c>
      <c r="Q39" s="1" t="n">
        <v>44397</v>
      </c>
      <c r="R39" s="1" t="n">
        <v>44459</v>
      </c>
      <c r="S39" s="0" t="n">
        <v>660000000</v>
      </c>
      <c r="T39" s="0" t="s">
        <v>938</v>
      </c>
      <c r="U39" s="0" t="s">
        <v>939</v>
      </c>
      <c r="V39" s="0" t="s">
        <v>958</v>
      </c>
      <c r="W39" s="0" t="s">
        <v>949</v>
      </c>
      <c r="Y39" s="0" t="s">
        <v>1027</v>
      </c>
      <c r="Z39" s="0" t="s">
        <v>949</v>
      </c>
      <c r="AA39" s="0" t="s">
        <v>939</v>
      </c>
      <c r="AB39" s="0" t="s">
        <v>956</v>
      </c>
    </row>
    <row r="40" customFormat="false" ht="15" hidden="false" customHeight="false" outlineLevel="0" collapsed="false">
      <c r="C40" s="0" t="n">
        <v>100243</v>
      </c>
      <c r="D40" s="0" t="str">
        <f aca="false">_xlfn.XLOOKUP(C40,Mapping!$P:$P,Mapping!$R:$R)</f>
        <v>Nova Ports</v>
      </c>
      <c r="E40" s="0" t="str">
        <f aca="false">_xlfn.XLOOKUP(C40,Mapping!$P:$P,Mapping!$Q:$Q)</f>
        <v>NOVA38</v>
      </c>
      <c r="F40" s="0" t="n">
        <v>37</v>
      </c>
      <c r="G40" s="0" t="s">
        <v>518</v>
      </c>
      <c r="H40" s="0" t="s">
        <v>787</v>
      </c>
      <c r="I40" s="0" t="s">
        <v>1028</v>
      </c>
      <c r="J40" s="0" t="s">
        <v>312</v>
      </c>
      <c r="K40" s="0" t="s">
        <v>947</v>
      </c>
      <c r="L40" s="0" t="s">
        <v>205</v>
      </c>
      <c r="M40" s="0" t="n">
        <v>120</v>
      </c>
      <c r="N40" s="0" t="s">
        <v>936</v>
      </c>
      <c r="O40" s="0" t="s">
        <v>937</v>
      </c>
      <c r="P40" s="1" t="n">
        <v>45649</v>
      </c>
      <c r="Q40" s="1" t="n">
        <v>44492</v>
      </c>
      <c r="R40" s="1" t="n">
        <v>44553</v>
      </c>
      <c r="S40" s="0" t="n">
        <v>790000000</v>
      </c>
      <c r="T40" s="0" t="s">
        <v>938</v>
      </c>
      <c r="U40" s="0" t="s">
        <v>953</v>
      </c>
      <c r="V40" s="0" t="s">
        <v>940</v>
      </c>
      <c r="W40" s="0" t="s">
        <v>959</v>
      </c>
      <c r="Y40" s="0" t="s">
        <v>1029</v>
      </c>
      <c r="Z40" s="0" t="s">
        <v>959</v>
      </c>
      <c r="AA40" s="0" t="s">
        <v>953</v>
      </c>
      <c r="AB40" s="0" t="s">
        <v>956</v>
      </c>
    </row>
    <row r="41" customFormat="false" ht="15" hidden="false" customHeight="false" outlineLevel="0" collapsed="false">
      <c r="C41" s="0" t="n">
        <v>100203</v>
      </c>
      <c r="D41" s="0" t="str">
        <f aca="false">_xlfn.XLOOKUP(C41,Mapping!$P:$P,Mapping!$R:$R)</f>
        <v>Delta Water</v>
      </c>
      <c r="E41" s="0" t="str">
        <f aca="false">_xlfn.XLOOKUP(C41,Mapping!$P:$P,Mapping!$Q:$Q)</f>
        <v>DELT04</v>
      </c>
      <c r="F41" s="0" t="n">
        <v>38</v>
      </c>
      <c r="G41" s="0" t="s">
        <v>262</v>
      </c>
      <c r="H41" s="0" t="s">
        <v>951</v>
      </c>
      <c r="I41" s="0" t="s">
        <v>1030</v>
      </c>
      <c r="J41" s="0" t="s">
        <v>196</v>
      </c>
      <c r="K41" s="0" t="s">
        <v>935</v>
      </c>
      <c r="L41" s="0" t="s">
        <v>269</v>
      </c>
      <c r="M41" s="0" t="n">
        <v>25</v>
      </c>
      <c r="N41" s="0" t="s">
        <v>948</v>
      </c>
      <c r="Q41" s="1" t="n">
        <v>44730</v>
      </c>
      <c r="R41" s="1" t="n">
        <v>44791</v>
      </c>
      <c r="S41" s="0" t="n">
        <v>90000000</v>
      </c>
      <c r="T41" s="0" t="s">
        <v>938</v>
      </c>
      <c r="U41" s="0" t="s">
        <v>939</v>
      </c>
      <c r="V41" s="0" t="s">
        <v>940</v>
      </c>
      <c r="W41" s="0" t="s">
        <v>954</v>
      </c>
      <c r="X41" s="0" t="n">
        <v>0.8465</v>
      </c>
      <c r="Y41" s="0" t="s">
        <v>1031</v>
      </c>
      <c r="Z41" s="0" t="s">
        <v>954</v>
      </c>
      <c r="AA41" s="0" t="s">
        <v>943</v>
      </c>
      <c r="AB41" s="0" t="s">
        <v>956</v>
      </c>
    </row>
    <row r="42" customFormat="false" ht="15" hidden="false" customHeight="false" outlineLevel="0" collapsed="false">
      <c r="C42" s="0" t="n">
        <v>100205</v>
      </c>
      <c r="D42" s="0" t="str">
        <f aca="false">_xlfn.XLOOKUP(C42,Mapping!$P:$P,Mapping!$R:$R)</f>
        <v>Ember Battery</v>
      </c>
      <c r="E42" s="0" t="str">
        <f aca="false">_xlfn.XLOOKUP(C42,Mapping!$P:$P,Mapping!$Q:$Q)</f>
        <v>EMBE05</v>
      </c>
      <c r="F42" s="0" t="n">
        <v>39</v>
      </c>
      <c r="G42" s="0" t="s">
        <v>281</v>
      </c>
      <c r="H42" s="0" t="s">
        <v>945</v>
      </c>
      <c r="I42" s="0" t="s">
        <v>1032</v>
      </c>
      <c r="J42" s="0" t="s">
        <v>284</v>
      </c>
      <c r="K42" s="0" t="s">
        <v>947</v>
      </c>
      <c r="L42" s="0" t="s">
        <v>216</v>
      </c>
      <c r="M42" s="0" t="n">
        <v>120</v>
      </c>
      <c r="N42" s="0" t="s">
        <v>948</v>
      </c>
      <c r="Q42" s="1" t="n">
        <v>44730</v>
      </c>
      <c r="R42" s="1" t="n">
        <v>44791</v>
      </c>
      <c r="S42" s="0" t="n">
        <v>490000000</v>
      </c>
      <c r="T42" s="0" t="s">
        <v>938</v>
      </c>
      <c r="U42" s="0" t="s">
        <v>953</v>
      </c>
      <c r="V42" s="0" t="s">
        <v>958</v>
      </c>
      <c r="W42" s="0" t="s">
        <v>984</v>
      </c>
      <c r="Y42" s="0" t="s">
        <v>1033</v>
      </c>
      <c r="Z42" s="0" t="s">
        <v>984</v>
      </c>
      <c r="AA42" s="0" t="s">
        <v>943</v>
      </c>
      <c r="AB42" s="0" t="s">
        <v>956</v>
      </c>
    </row>
    <row r="43" customFormat="false" ht="15" hidden="false" customHeight="false" outlineLevel="0" collapsed="false">
      <c r="C43" s="0" t="n">
        <v>100213</v>
      </c>
      <c r="D43" s="0" t="str">
        <f aca="false">_xlfn.XLOOKUP(C43,Mapping!$P:$P,Mapping!$R:$R)</f>
        <v>Lumen Hospitals</v>
      </c>
      <c r="E43" s="0" t="str">
        <f aca="false">_xlfn.XLOOKUP(C43,Mapping!$P:$P,Mapping!$Q:$Q)</f>
        <v>LUME12</v>
      </c>
      <c r="F43" s="0" t="n">
        <v>40</v>
      </c>
      <c r="G43" s="0" t="s">
        <v>296</v>
      </c>
      <c r="H43" s="0" t="s">
        <v>945</v>
      </c>
      <c r="I43" s="0" t="s">
        <v>1034</v>
      </c>
      <c r="J43" s="0" t="s">
        <v>327</v>
      </c>
      <c r="K43" s="0" t="s">
        <v>947</v>
      </c>
      <c r="L43" s="0" t="s">
        <v>216</v>
      </c>
      <c r="M43" s="0" t="n">
        <v>135</v>
      </c>
      <c r="N43" s="0" t="s">
        <v>948</v>
      </c>
      <c r="Q43" s="1" t="n">
        <v>44751</v>
      </c>
      <c r="R43" s="1" t="n">
        <v>44813</v>
      </c>
      <c r="S43" s="0" t="n">
        <v>240000000</v>
      </c>
      <c r="T43" s="0" t="s">
        <v>213</v>
      </c>
      <c r="U43" s="0" t="s">
        <v>939</v>
      </c>
      <c r="V43" s="0" t="s">
        <v>958</v>
      </c>
      <c r="W43" s="0" t="s">
        <v>941</v>
      </c>
      <c r="Y43" s="0" t="s">
        <v>1035</v>
      </c>
      <c r="Z43" s="0" t="s">
        <v>941</v>
      </c>
      <c r="AA43" s="0" t="s">
        <v>953</v>
      </c>
      <c r="AB43" s="0" t="s">
        <v>956</v>
      </c>
    </row>
    <row r="44" customFormat="false" ht="15" hidden="false" customHeight="false" outlineLevel="0" collapsed="false">
      <c r="C44" s="0" t="n">
        <v>100201</v>
      </c>
      <c r="D44" s="0" t="str">
        <f aca="false">_xlfn.XLOOKUP(C44,Mapping!$P:$P,Mapping!$R:$R)</f>
        <v>Beacon Airports</v>
      </c>
      <c r="E44" s="0" t="str">
        <f aca="false">_xlfn.XLOOKUP(C44,Mapping!$P:$P,Mapping!$Q:$Q)</f>
        <v>BEAC02</v>
      </c>
      <c r="F44" s="0" t="n">
        <v>41</v>
      </c>
      <c r="G44" s="0" t="s">
        <v>231</v>
      </c>
      <c r="H44" s="0" t="s">
        <v>787</v>
      </c>
      <c r="I44" s="0" t="s">
        <v>1036</v>
      </c>
      <c r="J44" s="0" t="s">
        <v>234</v>
      </c>
      <c r="K44" s="0" t="s">
        <v>935</v>
      </c>
      <c r="L44" s="0" t="s">
        <v>205</v>
      </c>
      <c r="M44" s="0" t="n">
        <v>120</v>
      </c>
      <c r="N44" s="0" t="s">
        <v>948</v>
      </c>
      <c r="Q44" s="1" t="n">
        <v>44987</v>
      </c>
      <c r="R44" s="1" t="n">
        <v>45048</v>
      </c>
      <c r="S44" s="0" t="n">
        <v>760000000</v>
      </c>
      <c r="T44" s="0" t="s">
        <v>938</v>
      </c>
      <c r="U44" s="0" t="s">
        <v>939</v>
      </c>
      <c r="V44" s="0" t="s">
        <v>940</v>
      </c>
      <c r="W44" s="0" t="s">
        <v>959</v>
      </c>
      <c r="X44" s="0" t="n">
        <v>0.8557</v>
      </c>
      <c r="Y44" s="0" t="s">
        <v>1037</v>
      </c>
      <c r="Z44" s="0" t="s">
        <v>959</v>
      </c>
      <c r="AA44" s="0" t="s">
        <v>943</v>
      </c>
      <c r="AB44" s="0" t="s">
        <v>944</v>
      </c>
    </row>
    <row r="45" customFormat="false" ht="15" hidden="false" customHeight="false" outlineLevel="0" collapsed="false">
      <c r="C45" s="0" t="n">
        <v>100225</v>
      </c>
      <c r="D45" s="0" t="str">
        <f aca="false">_xlfn.XLOOKUP(C45,Mapping!$P:$P,Mapping!$R:$R)</f>
        <v>Willow EV</v>
      </c>
      <c r="E45" s="0" t="str">
        <f aca="false">_xlfn.XLOOKUP(C45,Mapping!$P:$P,Mapping!$Q:$Q)</f>
        <v>WILL23</v>
      </c>
      <c r="F45" s="0" t="n">
        <v>42</v>
      </c>
      <c r="G45" s="0" t="s">
        <v>483</v>
      </c>
      <c r="H45" s="0" t="s">
        <v>951</v>
      </c>
      <c r="I45" s="0" t="s">
        <v>1038</v>
      </c>
      <c r="J45" s="0" t="s">
        <v>312</v>
      </c>
      <c r="K45" s="0" t="s">
        <v>947</v>
      </c>
      <c r="L45" s="0" t="s">
        <v>205</v>
      </c>
      <c r="M45" s="0" t="n">
        <v>35</v>
      </c>
      <c r="N45" s="0" t="s">
        <v>948</v>
      </c>
      <c r="Q45" s="1" t="n">
        <v>45121</v>
      </c>
      <c r="R45" s="1" t="n">
        <v>45183</v>
      </c>
      <c r="S45" s="0" t="n">
        <v>520000000</v>
      </c>
      <c r="T45" s="0" t="s">
        <v>938</v>
      </c>
      <c r="U45" s="0" t="s">
        <v>939</v>
      </c>
      <c r="V45" s="0" t="s">
        <v>958</v>
      </c>
      <c r="W45" s="0" t="s">
        <v>984</v>
      </c>
      <c r="Y45" s="0" t="s">
        <v>1039</v>
      </c>
      <c r="Z45" s="0" t="s">
        <v>984</v>
      </c>
      <c r="AA45" s="0" t="s">
        <v>943</v>
      </c>
      <c r="AB45" s="0" t="s">
        <v>956</v>
      </c>
    </row>
    <row r="46" customFormat="false" ht="15" hidden="false" customHeight="false" outlineLevel="0" collapsed="false">
      <c r="C46" s="0" t="n">
        <v>100207</v>
      </c>
      <c r="D46" s="0" t="str">
        <f aca="false">_xlfn.XLOOKUP(C46,Mapping!$P:$P,Mapping!$R:$R)</f>
        <v>Falcon Hospitals</v>
      </c>
      <c r="E46" s="0" t="str">
        <f aca="false">_xlfn.XLOOKUP(C46,Mapping!$P:$P,Mapping!$Q:$Q)</f>
        <v>FALC06</v>
      </c>
      <c r="F46" s="0" t="n">
        <v>43</v>
      </c>
      <c r="G46" s="0" t="s">
        <v>296</v>
      </c>
      <c r="H46" s="0" t="s">
        <v>787</v>
      </c>
      <c r="I46" s="0" t="s">
        <v>1040</v>
      </c>
      <c r="J46" s="0" t="s">
        <v>299</v>
      </c>
      <c r="K46" s="0" t="s">
        <v>947</v>
      </c>
      <c r="L46" s="0" t="s">
        <v>220</v>
      </c>
      <c r="M46" s="0" t="n">
        <v>30</v>
      </c>
      <c r="N46" s="0" t="s">
        <v>936</v>
      </c>
      <c r="O46" s="0" t="s">
        <v>937</v>
      </c>
      <c r="P46" s="1" t="n">
        <v>47742</v>
      </c>
      <c r="Q46" s="1" t="n">
        <v>45185</v>
      </c>
      <c r="R46" s="1" t="n">
        <v>45246</v>
      </c>
      <c r="S46" s="0" t="n">
        <v>140000000</v>
      </c>
      <c r="T46" s="0" t="s">
        <v>938</v>
      </c>
      <c r="U46" s="0" t="s">
        <v>953</v>
      </c>
      <c r="V46" s="0" t="s">
        <v>940</v>
      </c>
      <c r="W46" s="0" t="s">
        <v>941</v>
      </c>
      <c r="X46" s="0" t="n">
        <v>0.8501</v>
      </c>
      <c r="Y46" s="0" t="s">
        <v>1041</v>
      </c>
      <c r="Z46" s="0" t="s">
        <v>941</v>
      </c>
      <c r="AA46" s="0" t="s">
        <v>939</v>
      </c>
      <c r="AB46" s="0" t="s">
        <v>944</v>
      </c>
    </row>
    <row r="47" customFormat="false" ht="15" hidden="false" customHeight="false" outlineLevel="0" collapsed="false">
      <c r="C47" s="0" t="n">
        <v>100232</v>
      </c>
      <c r="D47" s="0" t="str">
        <f aca="false">_xlfn.XLOOKUP(C47,Mapping!$P:$P,Mapping!$R:$R)</f>
        <v>Dune Gas</v>
      </c>
      <c r="E47" s="0" t="str">
        <f aca="false">_xlfn.XLOOKUP(C47,Mapping!$P:$P,Mapping!$Q:$Q)</f>
        <v>DUNE28</v>
      </c>
      <c r="F47" s="0" t="n">
        <v>44</v>
      </c>
      <c r="G47" s="0" t="s">
        <v>347</v>
      </c>
      <c r="H47" s="0" t="s">
        <v>945</v>
      </c>
      <c r="I47" s="0" t="s">
        <v>1042</v>
      </c>
      <c r="J47" s="0" t="s">
        <v>249</v>
      </c>
      <c r="K47" s="0" t="s">
        <v>947</v>
      </c>
      <c r="L47" s="0" t="s">
        <v>255</v>
      </c>
      <c r="M47" s="0" t="n">
        <v>90</v>
      </c>
      <c r="N47" s="0" t="s">
        <v>948</v>
      </c>
      <c r="Q47" s="1" t="n">
        <v>45206</v>
      </c>
      <c r="R47" s="1" t="n">
        <v>45267</v>
      </c>
      <c r="S47" s="0" t="n">
        <v>600000000</v>
      </c>
      <c r="T47" s="0" t="s">
        <v>938</v>
      </c>
      <c r="U47" s="0" t="s">
        <v>953</v>
      </c>
      <c r="V47" s="0" t="s">
        <v>958</v>
      </c>
      <c r="W47" s="0" t="s">
        <v>954</v>
      </c>
      <c r="Y47" s="0" t="s">
        <v>1043</v>
      </c>
      <c r="Z47" s="0" t="s">
        <v>954</v>
      </c>
      <c r="AA47" s="0" t="s">
        <v>943</v>
      </c>
      <c r="AB47" s="0" t="s">
        <v>944</v>
      </c>
    </row>
    <row r="48" customFormat="false" ht="15" hidden="false" customHeight="false" outlineLevel="0" collapsed="false">
      <c r="C48" s="0" t="n">
        <v>100239</v>
      </c>
      <c r="D48" s="0" t="str">
        <f aca="false">_xlfn.XLOOKUP(C48,Mapping!$P:$P,Mapping!$R:$R)</f>
        <v>Kite District</v>
      </c>
      <c r="E48" s="0" t="str">
        <f aca="false">_xlfn.XLOOKUP(C48,Mapping!$P:$P,Mapping!$Q:$Q)</f>
        <v>KITE35</v>
      </c>
      <c r="F48" s="0" t="n">
        <v>45</v>
      </c>
      <c r="G48" s="0" t="s">
        <v>544</v>
      </c>
      <c r="H48" s="0" t="s">
        <v>787</v>
      </c>
      <c r="I48" s="0" t="s">
        <v>1044</v>
      </c>
      <c r="J48" s="0" t="s">
        <v>529</v>
      </c>
      <c r="K48" s="0" t="s">
        <v>935</v>
      </c>
      <c r="L48" s="0" t="s">
        <v>224</v>
      </c>
      <c r="M48" s="0" t="n">
        <v>145</v>
      </c>
      <c r="N48" s="0" t="s">
        <v>948</v>
      </c>
      <c r="Q48" s="1" t="n">
        <v>45446</v>
      </c>
      <c r="R48" s="1" t="n">
        <v>45507</v>
      </c>
      <c r="S48" s="0" t="n">
        <v>160000000</v>
      </c>
      <c r="T48" s="0" t="s">
        <v>213</v>
      </c>
      <c r="U48" s="0" t="s">
        <v>953</v>
      </c>
      <c r="V48" s="0" t="s">
        <v>940</v>
      </c>
      <c r="W48" s="0" t="s">
        <v>984</v>
      </c>
      <c r="Y48" s="0" t="s">
        <v>1045</v>
      </c>
      <c r="Z48" s="0" t="s">
        <v>984</v>
      </c>
      <c r="AA48" s="0" t="s">
        <v>953</v>
      </c>
      <c r="AB48" s="0" t="s">
        <v>956</v>
      </c>
    </row>
    <row r="49" customFormat="false" ht="15" hidden="false" customHeight="false" outlineLevel="0" collapsed="false">
      <c r="C49" s="0" t="n">
        <v>100231</v>
      </c>
      <c r="D49" s="0" t="str">
        <f aca="false">_xlfn.XLOOKUP(C49,Mapping!$P:$P,Mapping!$R:$R)</f>
        <v>Cobalt Telecom</v>
      </c>
      <c r="E49" s="0" t="str">
        <f aca="false">_xlfn.XLOOKUP(C49,Mapping!$P:$P,Mapping!$Q:$Q)</f>
        <v>COBA27</v>
      </c>
      <c r="F49" s="0" t="n">
        <v>46</v>
      </c>
      <c r="G49" s="0" t="s">
        <v>246</v>
      </c>
      <c r="H49" s="0" t="s">
        <v>951</v>
      </c>
      <c r="I49" s="0" t="s">
        <v>1046</v>
      </c>
      <c r="J49" s="0" t="s">
        <v>529</v>
      </c>
      <c r="K49" s="0" t="s">
        <v>935</v>
      </c>
      <c r="L49" s="0" t="s">
        <v>224</v>
      </c>
      <c r="M49" s="0" t="n">
        <v>75</v>
      </c>
      <c r="N49" s="0" t="s">
        <v>948</v>
      </c>
      <c r="Q49" s="1" t="n">
        <v>45481</v>
      </c>
      <c r="R49" s="1" t="n">
        <v>45543</v>
      </c>
      <c r="S49" s="0" t="n">
        <v>690000000</v>
      </c>
      <c r="T49" s="0" t="s">
        <v>938</v>
      </c>
      <c r="U49" s="0" t="s">
        <v>939</v>
      </c>
      <c r="V49" s="0" t="s">
        <v>940</v>
      </c>
      <c r="W49" s="0" t="s">
        <v>968</v>
      </c>
      <c r="Y49" s="0" t="s">
        <v>1047</v>
      </c>
      <c r="Z49" s="0" t="s">
        <v>968</v>
      </c>
      <c r="AA49" s="0" t="s">
        <v>943</v>
      </c>
      <c r="AB49" s="0" t="s">
        <v>956</v>
      </c>
    </row>
    <row r="50" customFormat="false" ht="15" hidden="false" customHeight="false" outlineLevel="0" collapsed="false">
      <c r="C50" s="0" t="n">
        <v>100209</v>
      </c>
      <c r="D50" s="0" t="str">
        <f aca="false">_xlfn.XLOOKUP(C50,Mapping!$P:$P,Mapping!$R:$R)</f>
        <v>Harbour Toll</v>
      </c>
      <c r="E50" s="0" t="str">
        <f aca="false">_xlfn.XLOOKUP(C50,Mapping!$P:$P,Mapping!$Q:$Q)</f>
        <v>HARB08</v>
      </c>
      <c r="F50" s="0" t="n">
        <v>47</v>
      </c>
      <c r="G50" s="0" t="s">
        <v>324</v>
      </c>
      <c r="H50" s="0" t="s">
        <v>787</v>
      </c>
      <c r="I50" s="0" t="s">
        <v>1048</v>
      </c>
      <c r="J50" s="0" t="s">
        <v>327</v>
      </c>
      <c r="K50" s="0" t="s">
        <v>947</v>
      </c>
      <c r="L50" s="0" t="s">
        <v>216</v>
      </c>
      <c r="M50" s="0" t="n">
        <v>95</v>
      </c>
      <c r="N50" s="0" t="s">
        <v>936</v>
      </c>
      <c r="O50" s="0" t="s">
        <v>937</v>
      </c>
      <c r="P50" s="1" t="n">
        <v>48236</v>
      </c>
      <c r="Q50" s="1" t="n">
        <v>45680</v>
      </c>
      <c r="R50" s="1" t="n">
        <v>45739</v>
      </c>
      <c r="S50" s="0" t="n">
        <v>320000000</v>
      </c>
      <c r="T50" s="0" t="s">
        <v>938</v>
      </c>
      <c r="U50" s="0" t="s">
        <v>953</v>
      </c>
      <c r="V50" s="0" t="s">
        <v>958</v>
      </c>
      <c r="W50" s="0" t="s">
        <v>959</v>
      </c>
      <c r="Y50" s="0" t="s">
        <v>1049</v>
      </c>
      <c r="Z50" s="0" t="s">
        <v>959</v>
      </c>
      <c r="AA50" s="0" t="s">
        <v>953</v>
      </c>
      <c r="AB50" s="0" t="s">
        <v>956</v>
      </c>
    </row>
    <row r="51" customFormat="false" ht="15" hidden="false" customHeight="false" outlineLevel="0" collapsed="false">
      <c r="C51" s="0" t="n">
        <v>100234</v>
      </c>
      <c r="D51" s="0" t="str">
        <f aca="false">_xlfn.XLOOKUP(C51,Mapping!$P:$P,Mapping!$R:$R)</f>
        <v>Fjord Student</v>
      </c>
      <c r="E51" s="0" t="str">
        <f aca="false">_xlfn.XLOOKUP(C51,Mapping!$P:$P,Mapping!$Q:$Q)</f>
        <v>FJOR30</v>
      </c>
      <c r="F51" s="0" t="n">
        <v>48</v>
      </c>
      <c r="G51" s="0" t="s">
        <v>434</v>
      </c>
      <c r="H51" s="0" t="s">
        <v>787</v>
      </c>
      <c r="I51" s="0" t="s">
        <v>1050</v>
      </c>
      <c r="J51" s="0" t="s">
        <v>234</v>
      </c>
      <c r="K51" s="0" t="s">
        <v>947</v>
      </c>
      <c r="L51" s="0" t="s">
        <v>205</v>
      </c>
      <c r="M51" s="0" t="n">
        <v>35</v>
      </c>
      <c r="N51" s="0" t="s">
        <v>948</v>
      </c>
      <c r="Q51" s="1" t="n">
        <v>45785</v>
      </c>
      <c r="R51" s="1" t="n">
        <v>45846</v>
      </c>
      <c r="S51" s="0" t="n">
        <v>450000000</v>
      </c>
      <c r="T51" s="0" t="s">
        <v>938</v>
      </c>
      <c r="U51" s="0" t="s">
        <v>939</v>
      </c>
      <c r="V51" s="0" t="s">
        <v>940</v>
      </c>
      <c r="W51" s="0" t="s">
        <v>941</v>
      </c>
      <c r="Y51" s="0" t="s">
        <v>1051</v>
      </c>
      <c r="Z51" s="0" t="s">
        <v>941</v>
      </c>
      <c r="AA51" s="0" t="s">
        <v>939</v>
      </c>
      <c r="AB51" s="0" t="s">
        <v>956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2:T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2" customFormat="false" ht="15" hidden="false" customHeight="false" outlineLevel="0" collapsed="false">
      <c r="D2" s="0" t="s">
        <v>931</v>
      </c>
      <c r="E2" s="0" t="s">
        <v>3</v>
      </c>
      <c r="F2" s="0" t="s">
        <v>1052</v>
      </c>
      <c r="G2" s="0" t="s">
        <v>1053</v>
      </c>
      <c r="H2" s="0" t="s">
        <v>1054</v>
      </c>
      <c r="I2" s="0" t="s">
        <v>1055</v>
      </c>
      <c r="J2" s="0" t="s">
        <v>1056</v>
      </c>
      <c r="K2" s="0" t="s">
        <v>1057</v>
      </c>
      <c r="L2" s="0" t="s">
        <v>913</v>
      </c>
      <c r="M2" s="0" t="s">
        <v>1058</v>
      </c>
      <c r="N2" s="0" t="s">
        <v>1059</v>
      </c>
      <c r="O2" s="0" t="s">
        <v>1060</v>
      </c>
      <c r="P2" s="0" t="s">
        <v>1061</v>
      </c>
      <c r="Q2" s="0" t="s">
        <v>1062</v>
      </c>
      <c r="R2" s="0" t="s">
        <v>1063</v>
      </c>
      <c r="S2" s="0" t="s">
        <v>1064</v>
      </c>
      <c r="T2" s="0" t="s">
        <v>1065</v>
      </c>
    </row>
    <row r="3" customFormat="false" ht="15" hidden="false" customHeight="false" outlineLevel="0" collapsed="false">
      <c r="C3" s="0" t="s">
        <v>7</v>
      </c>
      <c r="D3" s="0" t="s">
        <v>931</v>
      </c>
      <c r="E3" s="0" t="s">
        <v>3</v>
      </c>
      <c r="F3" s="0" t="s">
        <v>1066</v>
      </c>
      <c r="G3" s="0" t="s">
        <v>1067</v>
      </c>
      <c r="H3" s="0" t="s">
        <v>1068</v>
      </c>
      <c r="I3" s="0" t="s">
        <v>1069</v>
      </c>
      <c r="J3" s="0" t="s">
        <v>1070</v>
      </c>
      <c r="K3" s="0" t="s">
        <v>1071</v>
      </c>
      <c r="L3" s="0" t="s">
        <v>913</v>
      </c>
      <c r="M3" s="0" t="s">
        <v>1072</v>
      </c>
      <c r="N3" s="0" t="s">
        <v>1073</v>
      </c>
      <c r="O3" s="0" t="s">
        <v>1074</v>
      </c>
      <c r="P3" s="0" t="s">
        <v>1075</v>
      </c>
      <c r="Q3" s="0" t="s">
        <v>1076</v>
      </c>
      <c r="R3" s="0" t="s">
        <v>1063</v>
      </c>
      <c r="S3" s="0" t="s">
        <v>1064</v>
      </c>
      <c r="T3" s="0" t="s">
        <v>1065</v>
      </c>
    </row>
    <row r="4" customFormat="false" ht="15" hidden="false" customHeight="false" outlineLevel="0" collapsed="false">
      <c r="C4" s="0" t="n">
        <v>100200</v>
      </c>
      <c r="D4" s="0" t="s">
        <v>182</v>
      </c>
      <c r="E4" s="0" t="s">
        <v>752</v>
      </c>
      <c r="F4" s="0" t="s">
        <v>1077</v>
      </c>
      <c r="G4" s="0" t="s">
        <v>205</v>
      </c>
      <c r="H4" s="0" t="n">
        <v>52</v>
      </c>
      <c r="I4" s="0" t="n">
        <v>88</v>
      </c>
      <c r="J4" s="0" t="n">
        <v>89</v>
      </c>
      <c r="K4" s="0" t="n">
        <v>76</v>
      </c>
      <c r="L4" s="0" t="s">
        <v>196</v>
      </c>
      <c r="M4" s="0" t="s">
        <v>949</v>
      </c>
      <c r="N4" s="0" t="s">
        <v>192</v>
      </c>
      <c r="O4" s="0" t="s">
        <v>1078</v>
      </c>
      <c r="P4" s="0" t="s">
        <v>1079</v>
      </c>
      <c r="Q4" s="0" t="s">
        <v>186</v>
      </c>
      <c r="R4" s="0" t="n">
        <v>18876</v>
      </c>
      <c r="S4" s="0" t="n">
        <v>12584</v>
      </c>
      <c r="T4" s="0" t="n">
        <v>185236</v>
      </c>
    </row>
    <row r="5" customFormat="false" ht="15" hidden="false" customHeight="false" outlineLevel="0" collapsed="false">
      <c r="C5" s="0" t="n">
        <v>100201</v>
      </c>
      <c r="D5" s="0" t="s">
        <v>225</v>
      </c>
      <c r="E5" s="0" t="s">
        <v>759</v>
      </c>
      <c r="F5" s="0" t="s">
        <v>1080</v>
      </c>
      <c r="G5" s="0" t="s">
        <v>205</v>
      </c>
      <c r="H5" s="0" t="n">
        <v>70</v>
      </c>
      <c r="I5" s="0" t="n">
        <v>46</v>
      </c>
      <c r="J5" s="0" t="n">
        <v>63</v>
      </c>
      <c r="K5" s="0" t="n">
        <v>60</v>
      </c>
      <c r="L5" s="0" t="s">
        <v>234</v>
      </c>
      <c r="M5" s="0" t="s">
        <v>959</v>
      </c>
      <c r="N5" s="0" t="s">
        <v>231</v>
      </c>
      <c r="O5" s="0" t="s">
        <v>1081</v>
      </c>
      <c r="P5" s="0" t="s">
        <v>1079</v>
      </c>
      <c r="Q5" s="0" t="s">
        <v>227</v>
      </c>
      <c r="R5" s="0" t="n">
        <v>1922</v>
      </c>
      <c r="S5" s="0" t="n">
        <v>1281</v>
      </c>
      <c r="T5" s="0" t="n">
        <v>10009</v>
      </c>
    </row>
    <row r="6" customFormat="false" ht="15" hidden="false" customHeight="false" outlineLevel="0" collapsed="false">
      <c r="C6" s="0" t="n">
        <v>100202</v>
      </c>
      <c r="D6" s="0" t="s">
        <v>242</v>
      </c>
      <c r="E6" s="0" t="s">
        <v>764</v>
      </c>
      <c r="F6" s="0" t="s">
        <v>1082</v>
      </c>
      <c r="G6" s="0" t="s">
        <v>255</v>
      </c>
      <c r="H6" s="0" t="n">
        <v>85</v>
      </c>
      <c r="I6" s="0" t="n">
        <v>90</v>
      </c>
      <c r="J6" s="0" t="n">
        <v>62</v>
      </c>
      <c r="K6" s="0" t="n">
        <v>79</v>
      </c>
      <c r="L6" s="0" t="s">
        <v>249</v>
      </c>
      <c r="M6" s="0" t="s">
        <v>968</v>
      </c>
      <c r="N6" s="0" t="s">
        <v>246</v>
      </c>
      <c r="O6" s="0" t="s">
        <v>1083</v>
      </c>
      <c r="P6" s="0" t="s">
        <v>1084</v>
      </c>
      <c r="Q6" s="0" t="s">
        <v>227</v>
      </c>
      <c r="R6" s="0" t="n">
        <v>33223</v>
      </c>
      <c r="S6" s="0" t="n">
        <v>22148</v>
      </c>
      <c r="T6" s="0" t="n">
        <v>110889</v>
      </c>
    </row>
    <row r="7" customFormat="false" ht="15" hidden="false" customHeight="false" outlineLevel="0" collapsed="false">
      <c r="C7" s="0" t="n">
        <v>100203</v>
      </c>
      <c r="D7" s="0" t="s">
        <v>770</v>
      </c>
      <c r="E7" s="0" t="s">
        <v>769</v>
      </c>
      <c r="F7" s="0" t="s">
        <v>1085</v>
      </c>
      <c r="G7" s="0" t="s">
        <v>269</v>
      </c>
      <c r="H7" s="0" t="n">
        <v>86</v>
      </c>
      <c r="I7" s="0" t="n">
        <v>57</v>
      </c>
      <c r="J7" s="0" t="n">
        <v>78</v>
      </c>
      <c r="K7" s="0" t="n">
        <v>74</v>
      </c>
      <c r="L7" s="0" t="s">
        <v>196</v>
      </c>
      <c r="M7" s="0" t="s">
        <v>954</v>
      </c>
      <c r="N7" s="0" t="s">
        <v>262</v>
      </c>
      <c r="O7" s="0" t="s">
        <v>1086</v>
      </c>
      <c r="P7" s="0" t="s">
        <v>1079</v>
      </c>
      <c r="Q7" s="0" t="s">
        <v>186</v>
      </c>
      <c r="R7" s="0" t="n">
        <v>527</v>
      </c>
      <c r="S7" s="0" t="n">
        <v>352</v>
      </c>
      <c r="T7" s="0" t="n">
        <v>4124</v>
      </c>
    </row>
    <row r="8" customFormat="false" ht="15" hidden="false" customHeight="false" outlineLevel="0" collapsed="false">
      <c r="C8" s="0" t="n">
        <v>100205</v>
      </c>
      <c r="D8" s="0" t="s">
        <v>779</v>
      </c>
      <c r="E8" s="0" t="s">
        <v>774</v>
      </c>
      <c r="F8" s="0" t="s">
        <v>1087</v>
      </c>
      <c r="G8" s="0" t="s">
        <v>216</v>
      </c>
      <c r="H8" s="0" t="n">
        <v>50</v>
      </c>
      <c r="I8" s="0" t="n">
        <v>77</v>
      </c>
      <c r="J8" s="0" t="n">
        <v>54</v>
      </c>
      <c r="K8" s="0" t="n">
        <v>60</v>
      </c>
      <c r="L8" s="0" t="s">
        <v>284</v>
      </c>
      <c r="M8" s="0" t="s">
        <v>984</v>
      </c>
      <c r="N8" s="0" t="s">
        <v>281</v>
      </c>
      <c r="O8" s="0" t="s">
        <v>1088</v>
      </c>
      <c r="P8" s="0" t="s">
        <v>1084</v>
      </c>
      <c r="Q8" s="0" t="s">
        <v>227</v>
      </c>
      <c r="R8" s="0" t="n">
        <v>16804</v>
      </c>
      <c r="S8" s="0" t="n">
        <v>11202</v>
      </c>
      <c r="T8" s="0" t="n">
        <v>136376</v>
      </c>
    </row>
    <row r="9" customFormat="false" ht="15" hidden="false" customHeight="false" outlineLevel="0" collapsed="false">
      <c r="C9" s="0" t="n">
        <v>100207</v>
      </c>
      <c r="D9" s="0" t="s">
        <v>294</v>
      </c>
      <c r="E9" s="0" t="s">
        <v>778</v>
      </c>
      <c r="F9" s="0" t="s">
        <v>1089</v>
      </c>
      <c r="G9" s="0" t="s">
        <v>220</v>
      </c>
      <c r="H9" s="0" t="n">
        <v>87</v>
      </c>
      <c r="I9" s="0" t="n">
        <v>91</v>
      </c>
      <c r="J9" s="0" t="n">
        <v>59</v>
      </c>
      <c r="K9" s="0" t="n">
        <v>79</v>
      </c>
      <c r="L9" s="0" t="s">
        <v>299</v>
      </c>
      <c r="M9" s="0" t="s">
        <v>941</v>
      </c>
      <c r="N9" s="0" t="s">
        <v>296</v>
      </c>
      <c r="O9" s="0" t="s">
        <v>1090</v>
      </c>
      <c r="P9" s="0" t="s">
        <v>1084</v>
      </c>
      <c r="Q9" s="0" t="s">
        <v>186</v>
      </c>
      <c r="R9" s="0" t="n">
        <v>34223</v>
      </c>
      <c r="S9" s="0" t="n">
        <v>22816</v>
      </c>
      <c r="T9" s="0" t="n">
        <v>236848</v>
      </c>
    </row>
    <row r="10" customFormat="false" ht="15" hidden="false" customHeight="false" outlineLevel="0" collapsed="false">
      <c r="C10" s="0" t="n">
        <v>100208</v>
      </c>
      <c r="D10" s="0" t="s">
        <v>305</v>
      </c>
      <c r="E10" s="0" t="s">
        <v>784</v>
      </c>
      <c r="F10" s="0" t="s">
        <v>1091</v>
      </c>
      <c r="G10" s="0" t="s">
        <v>216</v>
      </c>
      <c r="H10" s="0" t="n">
        <v>95</v>
      </c>
      <c r="I10" s="0" t="n">
        <v>61</v>
      </c>
      <c r="J10" s="0" t="n">
        <v>75</v>
      </c>
      <c r="K10" s="0" t="n">
        <v>77</v>
      </c>
      <c r="L10" s="0" t="s">
        <v>312</v>
      </c>
      <c r="M10" s="0" t="s">
        <v>949</v>
      </c>
      <c r="N10" s="0" t="s">
        <v>309</v>
      </c>
      <c r="O10" s="0" t="s">
        <v>1092</v>
      </c>
      <c r="P10" s="0" t="s">
        <v>1084</v>
      </c>
      <c r="Q10" s="0" t="s">
        <v>227</v>
      </c>
      <c r="R10" s="0" t="n">
        <v>31565</v>
      </c>
      <c r="S10" s="0" t="n">
        <v>21043</v>
      </c>
      <c r="T10" s="0" t="n">
        <v>234999</v>
      </c>
    </row>
    <row r="11" customFormat="false" ht="15" hidden="false" customHeight="false" outlineLevel="0" collapsed="false">
      <c r="C11" s="0" t="n">
        <v>100209</v>
      </c>
      <c r="D11" s="0" t="s">
        <v>320</v>
      </c>
      <c r="E11" s="0" t="s">
        <v>788</v>
      </c>
      <c r="F11" s="0" t="s">
        <v>1093</v>
      </c>
      <c r="G11" s="0" t="s">
        <v>216</v>
      </c>
      <c r="H11" s="0" t="n">
        <v>65</v>
      </c>
      <c r="I11" s="0" t="n">
        <v>70</v>
      </c>
      <c r="J11" s="0" t="n">
        <v>64</v>
      </c>
      <c r="K11" s="0" t="n">
        <v>66</v>
      </c>
      <c r="L11" s="0" t="s">
        <v>327</v>
      </c>
      <c r="M11" s="0" t="s">
        <v>959</v>
      </c>
      <c r="N11" s="0" t="s">
        <v>324</v>
      </c>
      <c r="O11" s="0" t="s">
        <v>1094</v>
      </c>
      <c r="P11" s="0" t="s">
        <v>1084</v>
      </c>
      <c r="Q11" s="0" t="s">
        <v>227</v>
      </c>
      <c r="R11" s="0" t="n">
        <v>12344</v>
      </c>
      <c r="S11" s="0" t="n">
        <v>8229</v>
      </c>
      <c r="T11" s="0" t="n">
        <v>105737</v>
      </c>
    </row>
    <row r="12" customFormat="false" ht="15" hidden="false" customHeight="false" outlineLevel="0" collapsed="false">
      <c r="C12" s="0" t="n">
        <v>100210</v>
      </c>
      <c r="D12" s="0" t="s">
        <v>334</v>
      </c>
      <c r="E12" s="0" t="s">
        <v>792</v>
      </c>
      <c r="F12" s="0" t="s">
        <v>1095</v>
      </c>
      <c r="G12" s="0" t="s">
        <v>216</v>
      </c>
      <c r="H12" s="0" t="n">
        <v>43</v>
      </c>
      <c r="I12" s="0" t="n">
        <v>71</v>
      </c>
      <c r="J12" s="0" t="n">
        <v>61</v>
      </c>
      <c r="K12" s="0" t="n">
        <v>58</v>
      </c>
      <c r="L12" s="0" t="s">
        <v>299</v>
      </c>
      <c r="M12" s="0" t="s">
        <v>968</v>
      </c>
      <c r="N12" s="0" t="s">
        <v>336</v>
      </c>
      <c r="O12" s="0" t="s">
        <v>1096</v>
      </c>
      <c r="P12" s="0" t="s">
        <v>1084</v>
      </c>
      <c r="Q12" s="0" t="s">
        <v>227</v>
      </c>
      <c r="R12" s="0" t="n">
        <v>48020</v>
      </c>
      <c r="S12" s="0" t="n">
        <v>32013</v>
      </c>
      <c r="T12" s="0" t="n">
        <v>445208</v>
      </c>
    </row>
    <row r="13" customFormat="false" ht="15" hidden="false" customHeight="false" outlineLevel="0" collapsed="false">
      <c r="C13" s="0" t="n">
        <v>100211</v>
      </c>
      <c r="D13" s="0" t="s">
        <v>344</v>
      </c>
      <c r="E13" s="0" t="s">
        <v>796</v>
      </c>
      <c r="F13" s="0" t="s">
        <v>1097</v>
      </c>
      <c r="G13" s="0" t="s">
        <v>224</v>
      </c>
      <c r="H13" s="0" t="n">
        <v>46</v>
      </c>
      <c r="I13" s="0" t="n">
        <v>49</v>
      </c>
      <c r="J13" s="0" t="n">
        <v>71</v>
      </c>
      <c r="K13" s="0" t="n">
        <v>55</v>
      </c>
      <c r="L13" s="0" t="s">
        <v>249</v>
      </c>
      <c r="M13" s="0" t="s">
        <v>954</v>
      </c>
      <c r="N13" s="0" t="s">
        <v>347</v>
      </c>
      <c r="O13" s="0" t="s">
        <v>1098</v>
      </c>
      <c r="P13" s="0" t="s">
        <v>1084</v>
      </c>
      <c r="Q13" s="0" t="s">
        <v>186</v>
      </c>
      <c r="R13" s="0" t="n">
        <v>25969</v>
      </c>
      <c r="S13" s="0" t="n">
        <v>17313</v>
      </c>
      <c r="T13" s="0" t="n">
        <v>76829</v>
      </c>
    </row>
    <row r="14" customFormat="false" ht="15" hidden="false" customHeight="false" outlineLevel="0" collapsed="false">
      <c r="C14" s="0" t="n">
        <v>100212</v>
      </c>
      <c r="D14" s="0" t="s">
        <v>355</v>
      </c>
      <c r="E14" s="0" t="s">
        <v>799</v>
      </c>
      <c r="F14" s="0" t="s">
        <v>1099</v>
      </c>
      <c r="G14" s="0" t="s">
        <v>205</v>
      </c>
      <c r="H14" s="0" t="n">
        <v>67</v>
      </c>
      <c r="I14" s="0" t="n">
        <v>83</v>
      </c>
      <c r="J14" s="0" t="n">
        <v>73</v>
      </c>
      <c r="K14" s="0" t="n">
        <v>74</v>
      </c>
      <c r="L14" s="0" t="s">
        <v>312</v>
      </c>
      <c r="M14" s="0" t="s">
        <v>984</v>
      </c>
      <c r="N14" s="0" t="s">
        <v>281</v>
      </c>
      <c r="O14" s="0" t="s">
        <v>1088</v>
      </c>
      <c r="P14" s="0" t="s">
        <v>1084</v>
      </c>
      <c r="Q14" s="0" t="s">
        <v>186</v>
      </c>
      <c r="R14" s="0" t="n">
        <v>15629</v>
      </c>
      <c r="S14" s="0" t="n">
        <v>10420</v>
      </c>
      <c r="T14" s="0" t="n">
        <v>80410</v>
      </c>
    </row>
    <row r="15" customFormat="false" ht="15" hidden="false" customHeight="false" outlineLevel="0" collapsed="false">
      <c r="C15" s="0" t="n">
        <v>100213</v>
      </c>
      <c r="D15" s="0" t="s">
        <v>809</v>
      </c>
      <c r="E15" s="0" t="s">
        <v>802</v>
      </c>
      <c r="F15" s="0" t="s">
        <v>1100</v>
      </c>
      <c r="G15" s="0" t="s">
        <v>216</v>
      </c>
      <c r="H15" s="0" t="n">
        <v>64</v>
      </c>
      <c r="I15" s="0" t="n">
        <v>42</v>
      </c>
      <c r="J15" s="0" t="n">
        <v>88</v>
      </c>
      <c r="K15" s="0" t="n">
        <v>65</v>
      </c>
      <c r="L15" s="0" t="s">
        <v>327</v>
      </c>
      <c r="M15" s="0" t="s">
        <v>941</v>
      </c>
      <c r="N15" s="0" t="s">
        <v>296</v>
      </c>
      <c r="O15" s="0" t="s">
        <v>1090</v>
      </c>
      <c r="P15" s="0" t="s">
        <v>1084</v>
      </c>
      <c r="Q15" s="0" t="s">
        <v>227</v>
      </c>
      <c r="R15" s="0" t="n">
        <v>20200</v>
      </c>
      <c r="S15" s="0" t="n">
        <v>13467</v>
      </c>
      <c r="T15" s="0" t="n">
        <v>132239</v>
      </c>
    </row>
    <row r="16" customFormat="false" ht="15" hidden="false" customHeight="false" outlineLevel="0" collapsed="false">
      <c r="C16" s="0" t="n">
        <v>100215</v>
      </c>
      <c r="D16" s="0" t="s">
        <v>379</v>
      </c>
      <c r="E16" s="0" t="s">
        <v>804</v>
      </c>
      <c r="F16" s="0" t="s">
        <v>1101</v>
      </c>
      <c r="G16" s="0" t="s">
        <v>216</v>
      </c>
      <c r="H16" s="0" t="n">
        <v>74</v>
      </c>
      <c r="I16" s="0" t="n">
        <v>95</v>
      </c>
      <c r="J16" s="0" t="n">
        <v>46</v>
      </c>
      <c r="K16" s="0" t="n">
        <v>72</v>
      </c>
      <c r="L16" s="0" t="s">
        <v>384</v>
      </c>
      <c r="M16" s="0" t="s">
        <v>949</v>
      </c>
      <c r="N16" s="0" t="s">
        <v>381</v>
      </c>
      <c r="O16" s="0" t="s">
        <v>1102</v>
      </c>
      <c r="P16" s="0" t="s">
        <v>1084</v>
      </c>
      <c r="Q16" s="0" t="s">
        <v>227</v>
      </c>
      <c r="R16" s="0" t="n">
        <v>13505</v>
      </c>
      <c r="S16" s="0" t="n">
        <v>9003</v>
      </c>
      <c r="T16" s="0" t="n">
        <v>67384</v>
      </c>
    </row>
    <row r="17" customFormat="false" ht="15" hidden="false" customHeight="false" outlineLevel="0" collapsed="false">
      <c r="C17" s="0" t="n">
        <v>100217</v>
      </c>
      <c r="D17" s="0" t="s">
        <v>399</v>
      </c>
      <c r="E17" s="0" t="s">
        <v>813</v>
      </c>
      <c r="F17" s="0" t="s">
        <v>1103</v>
      </c>
      <c r="G17" s="0" t="s">
        <v>224</v>
      </c>
      <c r="H17" s="0" t="n">
        <v>74</v>
      </c>
      <c r="I17" s="0" t="n">
        <v>65</v>
      </c>
      <c r="J17" s="0" t="n">
        <v>69</v>
      </c>
      <c r="K17" s="0" t="n">
        <v>69</v>
      </c>
      <c r="L17" s="0" t="s">
        <v>327</v>
      </c>
      <c r="M17" s="0" t="s">
        <v>968</v>
      </c>
      <c r="N17" s="0" t="s">
        <v>336</v>
      </c>
      <c r="O17" s="0" t="s">
        <v>1096</v>
      </c>
      <c r="P17" s="0" t="s">
        <v>1084</v>
      </c>
      <c r="Q17" s="0" t="s">
        <v>227</v>
      </c>
      <c r="R17" s="0" t="n">
        <v>18447</v>
      </c>
      <c r="S17" s="0" t="n">
        <v>12298</v>
      </c>
      <c r="T17" s="0" t="n">
        <v>162673</v>
      </c>
    </row>
    <row r="18" customFormat="false" ht="15" hidden="false" customHeight="false" outlineLevel="0" collapsed="false">
      <c r="C18" s="0" t="n">
        <v>100218</v>
      </c>
      <c r="D18" s="0" t="s">
        <v>410</v>
      </c>
      <c r="E18" s="0" t="s">
        <v>817</v>
      </c>
      <c r="F18" s="0" t="s">
        <v>1104</v>
      </c>
      <c r="G18" s="0" t="s">
        <v>224</v>
      </c>
      <c r="H18" s="0" t="n">
        <v>89</v>
      </c>
      <c r="I18" s="0" t="n">
        <v>52</v>
      </c>
      <c r="J18" s="0" t="n">
        <v>55</v>
      </c>
      <c r="K18" s="0" t="n">
        <v>65</v>
      </c>
      <c r="L18" s="0" t="s">
        <v>249</v>
      </c>
      <c r="M18" s="0" t="s">
        <v>954</v>
      </c>
      <c r="N18" s="0" t="s">
        <v>347</v>
      </c>
      <c r="O18" s="0" t="s">
        <v>1098</v>
      </c>
      <c r="P18" s="0" t="s">
        <v>1084</v>
      </c>
      <c r="Q18" s="0" t="s">
        <v>227</v>
      </c>
      <c r="R18" s="0" t="n">
        <v>1407</v>
      </c>
      <c r="S18" s="0" t="n">
        <v>938</v>
      </c>
      <c r="T18" s="0" t="n">
        <v>5824</v>
      </c>
    </row>
    <row r="19" customFormat="false" ht="15" hidden="false" customHeight="false" outlineLevel="0" collapsed="false">
      <c r="C19" s="0" t="n">
        <v>100219</v>
      </c>
      <c r="D19" s="0" t="s">
        <v>422</v>
      </c>
      <c r="E19" s="0" t="s">
        <v>821</v>
      </c>
      <c r="F19" s="0" t="s">
        <v>1105</v>
      </c>
      <c r="G19" s="0" t="s">
        <v>220</v>
      </c>
      <c r="H19" s="0" t="n">
        <v>64</v>
      </c>
      <c r="I19" s="0" t="n">
        <v>79</v>
      </c>
      <c r="J19" s="0" t="n">
        <v>64</v>
      </c>
      <c r="K19" s="0" t="n">
        <v>69</v>
      </c>
      <c r="L19" s="0" t="s">
        <v>384</v>
      </c>
      <c r="M19" s="0" t="s">
        <v>984</v>
      </c>
      <c r="N19" s="0" t="s">
        <v>281</v>
      </c>
      <c r="O19" s="0" t="s">
        <v>1088</v>
      </c>
      <c r="P19" s="0" t="s">
        <v>1084</v>
      </c>
      <c r="Q19" s="0" t="s">
        <v>186</v>
      </c>
      <c r="R19" s="0" t="n">
        <v>18242</v>
      </c>
      <c r="S19" s="0" t="n">
        <v>12162</v>
      </c>
      <c r="T19" s="0" t="n">
        <v>99256</v>
      </c>
    </row>
    <row r="20" customFormat="false" ht="15" hidden="false" customHeight="false" outlineLevel="0" collapsed="false">
      <c r="C20" s="0" t="n">
        <v>100220</v>
      </c>
      <c r="D20" s="0" t="s">
        <v>430</v>
      </c>
      <c r="E20" s="0" t="s">
        <v>824</v>
      </c>
      <c r="F20" s="0" t="s">
        <v>1106</v>
      </c>
      <c r="G20" s="0" t="s">
        <v>224</v>
      </c>
      <c r="H20" s="0" t="n">
        <v>59</v>
      </c>
      <c r="I20" s="0" t="n">
        <v>49</v>
      </c>
      <c r="J20" s="0" t="n">
        <v>88</v>
      </c>
      <c r="K20" s="0" t="n">
        <v>65</v>
      </c>
      <c r="L20" s="0" t="s">
        <v>299</v>
      </c>
      <c r="M20" s="0" t="s">
        <v>941</v>
      </c>
      <c r="N20" s="0" t="s">
        <v>434</v>
      </c>
      <c r="O20" s="0" t="s">
        <v>1107</v>
      </c>
      <c r="P20" s="0" t="s">
        <v>1084</v>
      </c>
      <c r="Q20" s="0" t="s">
        <v>227</v>
      </c>
      <c r="R20" s="0" t="n">
        <v>21920</v>
      </c>
      <c r="S20" s="0" t="n">
        <v>14613</v>
      </c>
      <c r="T20" s="0" t="n">
        <v>194011</v>
      </c>
    </row>
    <row r="21" customFormat="false" ht="15" hidden="false" customHeight="false" outlineLevel="0" collapsed="false">
      <c r="C21" s="0" t="n">
        <v>100221</v>
      </c>
      <c r="D21" s="0" t="s">
        <v>442</v>
      </c>
      <c r="E21" s="0" t="s">
        <v>829</v>
      </c>
      <c r="F21" s="0" t="s">
        <v>1108</v>
      </c>
      <c r="G21" s="0" t="s">
        <v>205</v>
      </c>
      <c r="H21" s="0" t="n">
        <v>92</v>
      </c>
      <c r="I21" s="0" t="n">
        <v>54</v>
      </c>
      <c r="J21" s="0" t="n">
        <v>50</v>
      </c>
      <c r="K21" s="0" t="n">
        <v>65</v>
      </c>
      <c r="L21" s="0" t="s">
        <v>284</v>
      </c>
      <c r="M21" s="0" t="s">
        <v>949</v>
      </c>
      <c r="N21" s="0" t="s">
        <v>309</v>
      </c>
      <c r="O21" s="0" t="s">
        <v>1092</v>
      </c>
      <c r="P21" s="0" t="s">
        <v>1084</v>
      </c>
      <c r="Q21" s="0" t="s">
        <v>227</v>
      </c>
      <c r="R21" s="0" t="n">
        <v>52081</v>
      </c>
      <c r="S21" s="0" t="n">
        <v>34721</v>
      </c>
      <c r="T21" s="0" t="n">
        <v>182192</v>
      </c>
    </row>
    <row r="22" customFormat="false" ht="15" hidden="false" customHeight="false" outlineLevel="0" collapsed="false">
      <c r="C22" s="0" t="n">
        <v>100222</v>
      </c>
      <c r="D22" s="0" t="s">
        <v>451</v>
      </c>
      <c r="E22" s="0" t="s">
        <v>833</v>
      </c>
      <c r="F22" s="0" t="s">
        <v>1109</v>
      </c>
      <c r="G22" s="0" t="s">
        <v>255</v>
      </c>
      <c r="H22" s="0" t="n">
        <v>58</v>
      </c>
      <c r="I22" s="0" t="n">
        <v>43</v>
      </c>
      <c r="J22" s="0" t="n">
        <v>87</v>
      </c>
      <c r="K22" s="0" t="n">
        <v>63</v>
      </c>
      <c r="L22" s="0" t="s">
        <v>327</v>
      </c>
      <c r="M22" s="0" t="s">
        <v>959</v>
      </c>
      <c r="N22" s="0" t="s">
        <v>324</v>
      </c>
      <c r="O22" s="0" t="s">
        <v>1094</v>
      </c>
      <c r="P22" s="0" t="s">
        <v>1084</v>
      </c>
      <c r="Q22" s="0" t="s">
        <v>227</v>
      </c>
      <c r="R22" s="0" t="n">
        <v>53943</v>
      </c>
      <c r="S22" s="0" t="n">
        <v>35962</v>
      </c>
      <c r="T22" s="0" t="n">
        <v>312126</v>
      </c>
    </row>
    <row r="23" customFormat="false" ht="15" hidden="false" customHeight="false" outlineLevel="0" collapsed="false">
      <c r="C23" s="0" t="n">
        <v>100223</v>
      </c>
      <c r="D23" s="0" t="s">
        <v>462</v>
      </c>
      <c r="E23" s="0" t="s">
        <v>837</v>
      </c>
      <c r="F23" s="0" t="s">
        <v>1110</v>
      </c>
      <c r="G23" s="0" t="s">
        <v>269</v>
      </c>
      <c r="H23" s="0" t="n">
        <v>72</v>
      </c>
      <c r="I23" s="0" t="n">
        <v>56</v>
      </c>
      <c r="J23" s="0" t="n">
        <v>57</v>
      </c>
      <c r="K23" s="0" t="n">
        <v>62</v>
      </c>
      <c r="L23" s="0" t="s">
        <v>327</v>
      </c>
      <c r="M23" s="0" t="s">
        <v>968</v>
      </c>
      <c r="N23" s="0" t="s">
        <v>464</v>
      </c>
      <c r="O23" s="0" t="s">
        <v>1111</v>
      </c>
      <c r="P23" s="0" t="s">
        <v>1079</v>
      </c>
      <c r="Q23" s="0" t="s">
        <v>227</v>
      </c>
      <c r="R23" s="0" t="n">
        <v>3337</v>
      </c>
      <c r="S23" s="0" t="n">
        <v>2225</v>
      </c>
      <c r="T23" s="0" t="n">
        <v>18910</v>
      </c>
    </row>
    <row r="24" customFormat="false" ht="15" hidden="false" customHeight="false" outlineLevel="0" collapsed="false">
      <c r="C24" s="0" t="n">
        <v>100224</v>
      </c>
      <c r="D24" s="0" t="s">
        <v>471</v>
      </c>
      <c r="E24" s="0" t="s">
        <v>839</v>
      </c>
      <c r="F24" s="0" t="s">
        <v>1112</v>
      </c>
      <c r="G24" s="0" t="s">
        <v>269</v>
      </c>
      <c r="H24" s="0" t="n">
        <v>59</v>
      </c>
      <c r="I24" s="0" t="n">
        <v>43</v>
      </c>
      <c r="J24" s="0" t="n">
        <v>83</v>
      </c>
      <c r="K24" s="0" t="n">
        <v>62</v>
      </c>
      <c r="L24" s="0" t="s">
        <v>234</v>
      </c>
      <c r="M24" s="0" t="s">
        <v>954</v>
      </c>
      <c r="N24" s="0" t="s">
        <v>473</v>
      </c>
      <c r="O24" s="0" t="s">
        <v>1113</v>
      </c>
      <c r="P24" s="0" t="s">
        <v>1084</v>
      </c>
      <c r="Q24" s="0" t="s">
        <v>227</v>
      </c>
      <c r="R24" s="0" t="n">
        <v>52546</v>
      </c>
      <c r="S24" s="0" t="n">
        <v>35030</v>
      </c>
      <c r="T24" s="0" t="n">
        <v>154074</v>
      </c>
    </row>
    <row r="25" customFormat="false" ht="15" hidden="false" customHeight="false" outlineLevel="0" collapsed="false">
      <c r="C25" s="0" t="n">
        <v>100225</v>
      </c>
      <c r="D25" s="0" t="s">
        <v>481</v>
      </c>
      <c r="E25" s="0" t="s">
        <v>842</v>
      </c>
      <c r="F25" s="0" t="s">
        <v>1114</v>
      </c>
      <c r="G25" s="0" t="s">
        <v>205</v>
      </c>
      <c r="H25" s="0" t="n">
        <v>65</v>
      </c>
      <c r="I25" s="0" t="n">
        <v>65</v>
      </c>
      <c r="J25" s="0" t="n">
        <v>90</v>
      </c>
      <c r="K25" s="0" t="n">
        <v>73</v>
      </c>
      <c r="L25" s="0" t="s">
        <v>312</v>
      </c>
      <c r="M25" s="0" t="s">
        <v>984</v>
      </c>
      <c r="N25" s="0" t="s">
        <v>483</v>
      </c>
      <c r="O25" s="0" t="s">
        <v>1115</v>
      </c>
      <c r="P25" s="0" t="s">
        <v>1079</v>
      </c>
      <c r="Q25" s="0" t="s">
        <v>227</v>
      </c>
      <c r="R25" s="0" t="n">
        <v>44653</v>
      </c>
      <c r="S25" s="0" t="n">
        <v>29769</v>
      </c>
      <c r="T25" s="0" t="n">
        <v>269091</v>
      </c>
    </row>
    <row r="26" customFormat="false" ht="15" hidden="false" customHeight="false" outlineLevel="0" collapsed="false">
      <c r="C26" s="0" t="n">
        <v>100226</v>
      </c>
      <c r="D26" s="0" t="s">
        <v>856</v>
      </c>
      <c r="E26" s="0" t="s">
        <v>845</v>
      </c>
      <c r="F26" s="0" t="s">
        <v>1116</v>
      </c>
      <c r="G26" s="0" t="s">
        <v>255</v>
      </c>
      <c r="H26" s="0" t="n">
        <v>72</v>
      </c>
      <c r="I26" s="0" t="n">
        <v>95</v>
      </c>
      <c r="J26" s="0" t="n">
        <v>89</v>
      </c>
      <c r="K26" s="0" t="n">
        <v>85</v>
      </c>
      <c r="L26" s="0" t="s">
        <v>495</v>
      </c>
      <c r="M26" s="0" t="s">
        <v>941</v>
      </c>
      <c r="N26" s="0" t="s">
        <v>492</v>
      </c>
      <c r="O26" s="0" t="s">
        <v>1117</v>
      </c>
      <c r="P26" s="0" t="s">
        <v>1084</v>
      </c>
      <c r="Q26" s="0" t="s">
        <v>227</v>
      </c>
      <c r="R26" s="0" t="n">
        <v>26819</v>
      </c>
      <c r="S26" s="0" t="n">
        <v>17880</v>
      </c>
      <c r="T26" s="0" t="n">
        <v>81593</v>
      </c>
    </row>
    <row r="27" customFormat="false" ht="15" hidden="false" customHeight="false" outlineLevel="0" collapsed="false">
      <c r="C27" s="0" t="n">
        <v>100228</v>
      </c>
      <c r="D27" s="0" t="s">
        <v>861</v>
      </c>
      <c r="E27" s="0" t="s">
        <v>848</v>
      </c>
      <c r="F27" s="0" t="s">
        <v>1118</v>
      </c>
      <c r="G27" s="0" t="s">
        <v>205</v>
      </c>
      <c r="H27" s="0" t="n">
        <v>77</v>
      </c>
      <c r="I27" s="0" t="n">
        <v>70</v>
      </c>
      <c r="J27" s="0" t="n">
        <v>46</v>
      </c>
      <c r="K27" s="0" t="n">
        <v>64</v>
      </c>
      <c r="L27" s="0" t="s">
        <v>196</v>
      </c>
      <c r="M27" s="0" t="s">
        <v>949</v>
      </c>
      <c r="N27" s="0" t="s">
        <v>192</v>
      </c>
      <c r="O27" s="0" t="s">
        <v>1078</v>
      </c>
      <c r="P27" s="0" t="s">
        <v>1084</v>
      </c>
      <c r="Q27" s="0" t="s">
        <v>186</v>
      </c>
      <c r="R27" s="0" t="n">
        <v>13417</v>
      </c>
      <c r="S27" s="0" t="n">
        <v>8945</v>
      </c>
      <c r="T27" s="0" t="n">
        <v>59111</v>
      </c>
    </row>
    <row r="28" customFormat="false" ht="15" hidden="false" customHeight="false" outlineLevel="0" collapsed="false">
      <c r="C28" s="0" t="n">
        <v>100230</v>
      </c>
      <c r="D28" s="0" t="s">
        <v>514</v>
      </c>
      <c r="E28" s="0" t="s">
        <v>851</v>
      </c>
      <c r="F28" s="0" t="s">
        <v>1119</v>
      </c>
      <c r="G28" s="0" t="s">
        <v>255</v>
      </c>
      <c r="H28" s="0" t="n">
        <v>64</v>
      </c>
      <c r="I28" s="0" t="n">
        <v>55</v>
      </c>
      <c r="J28" s="0" t="n">
        <v>62</v>
      </c>
      <c r="K28" s="0" t="n">
        <v>60</v>
      </c>
      <c r="L28" s="0" t="s">
        <v>284</v>
      </c>
      <c r="M28" s="0" t="s">
        <v>959</v>
      </c>
      <c r="N28" s="0" t="s">
        <v>518</v>
      </c>
      <c r="O28" s="0" t="s">
        <v>1120</v>
      </c>
      <c r="P28" s="0" t="s">
        <v>1084</v>
      </c>
      <c r="Q28" s="0" t="s">
        <v>227</v>
      </c>
      <c r="R28" s="0" t="n">
        <v>19081</v>
      </c>
      <c r="S28" s="0" t="n">
        <v>12720</v>
      </c>
      <c r="T28" s="0" t="n">
        <v>56326</v>
      </c>
    </row>
    <row r="29" customFormat="false" ht="15" hidden="false" customHeight="false" outlineLevel="0" collapsed="false">
      <c r="C29" s="0" t="n">
        <v>100231</v>
      </c>
      <c r="D29" s="0" t="s">
        <v>525</v>
      </c>
      <c r="E29" s="0" t="s">
        <v>855</v>
      </c>
      <c r="F29" s="0" t="s">
        <v>1121</v>
      </c>
      <c r="G29" s="0" t="s">
        <v>224</v>
      </c>
      <c r="H29" s="0" t="n">
        <v>52</v>
      </c>
      <c r="I29" s="0" t="n">
        <v>50</v>
      </c>
      <c r="J29" s="0" t="n">
        <v>84</v>
      </c>
      <c r="K29" s="0" t="n">
        <v>62</v>
      </c>
      <c r="L29" s="0" t="s">
        <v>529</v>
      </c>
      <c r="M29" s="0" t="s">
        <v>968</v>
      </c>
      <c r="N29" s="0" t="s">
        <v>246</v>
      </c>
      <c r="O29" s="0" t="s">
        <v>1083</v>
      </c>
      <c r="P29" s="0" t="s">
        <v>1084</v>
      </c>
      <c r="Q29" s="0" t="s">
        <v>227</v>
      </c>
      <c r="R29" s="0" t="n">
        <v>36639</v>
      </c>
      <c r="S29" s="0" t="n">
        <v>24426</v>
      </c>
      <c r="T29" s="0" t="n">
        <v>363509</v>
      </c>
    </row>
    <row r="30" customFormat="false" ht="15" hidden="false" customHeight="false" outlineLevel="0" collapsed="false">
      <c r="C30" s="0" t="n">
        <v>100232</v>
      </c>
      <c r="D30" s="0" t="s">
        <v>534</v>
      </c>
      <c r="E30" s="0" t="s">
        <v>858</v>
      </c>
      <c r="F30" s="0" t="s">
        <v>1122</v>
      </c>
      <c r="G30" s="0" t="s">
        <v>255</v>
      </c>
      <c r="H30" s="0" t="n">
        <v>64</v>
      </c>
      <c r="I30" s="0" t="n">
        <v>63</v>
      </c>
      <c r="J30" s="0" t="n">
        <v>88</v>
      </c>
      <c r="K30" s="0" t="n">
        <v>72</v>
      </c>
      <c r="L30" s="0" t="s">
        <v>249</v>
      </c>
      <c r="M30" s="0" t="s">
        <v>954</v>
      </c>
      <c r="N30" s="0" t="s">
        <v>347</v>
      </c>
      <c r="O30" s="0" t="s">
        <v>1098</v>
      </c>
      <c r="P30" s="0" t="s">
        <v>1084</v>
      </c>
      <c r="Q30" s="0" t="s">
        <v>227</v>
      </c>
      <c r="R30" s="0" t="n">
        <v>13527</v>
      </c>
      <c r="S30" s="0" t="n">
        <v>9018</v>
      </c>
      <c r="T30" s="0" t="n">
        <v>102389</v>
      </c>
    </row>
    <row r="31" customFormat="false" ht="15" hidden="false" customHeight="false" outlineLevel="0" collapsed="false">
      <c r="C31" s="0" t="n">
        <v>100233</v>
      </c>
      <c r="D31" s="0" t="s">
        <v>542</v>
      </c>
      <c r="E31" s="0" t="s">
        <v>860</v>
      </c>
      <c r="F31" s="0" t="s">
        <v>1123</v>
      </c>
      <c r="G31" s="0" t="s">
        <v>205</v>
      </c>
      <c r="H31" s="0" t="n">
        <v>53</v>
      </c>
      <c r="I31" s="0" t="n">
        <v>81</v>
      </c>
      <c r="J31" s="0" t="n">
        <v>70</v>
      </c>
      <c r="K31" s="0" t="n">
        <v>68</v>
      </c>
      <c r="L31" s="0" t="s">
        <v>327</v>
      </c>
      <c r="M31" s="0" t="s">
        <v>984</v>
      </c>
      <c r="N31" s="0" t="s">
        <v>544</v>
      </c>
      <c r="O31" s="0" t="s">
        <v>1124</v>
      </c>
      <c r="P31" s="0" t="s">
        <v>1084</v>
      </c>
      <c r="Q31" s="0" t="s">
        <v>227</v>
      </c>
      <c r="R31" s="0" t="n">
        <v>12393</v>
      </c>
      <c r="S31" s="0" t="n">
        <v>8262</v>
      </c>
      <c r="T31" s="0" t="n">
        <v>121707</v>
      </c>
    </row>
    <row r="32" customFormat="false" ht="15" hidden="false" customHeight="false" outlineLevel="0" collapsed="false">
      <c r="C32" s="0" t="n">
        <v>100234</v>
      </c>
      <c r="D32" s="0" t="s">
        <v>551</v>
      </c>
      <c r="E32" s="0" t="s">
        <v>864</v>
      </c>
      <c r="F32" s="0" t="s">
        <v>1125</v>
      </c>
      <c r="G32" s="0" t="s">
        <v>205</v>
      </c>
      <c r="H32" s="0" t="n">
        <v>84</v>
      </c>
      <c r="I32" s="0" t="n">
        <v>70</v>
      </c>
      <c r="J32" s="0" t="n">
        <v>67</v>
      </c>
      <c r="K32" s="0" t="n">
        <v>74</v>
      </c>
      <c r="L32" s="0" t="s">
        <v>234</v>
      </c>
      <c r="M32" s="0" t="s">
        <v>941</v>
      </c>
      <c r="N32" s="0" t="s">
        <v>434</v>
      </c>
      <c r="O32" s="0" t="s">
        <v>1107</v>
      </c>
      <c r="P32" s="0" t="s">
        <v>1079</v>
      </c>
      <c r="Q32" s="0" t="s">
        <v>227</v>
      </c>
      <c r="R32" s="0" t="n">
        <v>37901</v>
      </c>
      <c r="S32" s="0" t="n">
        <v>25267</v>
      </c>
      <c r="T32" s="0" t="n">
        <v>208806</v>
      </c>
    </row>
    <row r="33" customFormat="false" ht="15" hidden="false" customHeight="false" outlineLevel="0" collapsed="false">
      <c r="C33" s="0" t="n">
        <v>100235</v>
      </c>
      <c r="D33" s="0" t="s">
        <v>559</v>
      </c>
      <c r="E33" s="0" t="s">
        <v>867</v>
      </c>
      <c r="F33" s="0" t="s">
        <v>1126</v>
      </c>
      <c r="G33" s="0" t="s">
        <v>224</v>
      </c>
      <c r="H33" s="0" t="n">
        <v>90</v>
      </c>
      <c r="I33" s="0" t="n">
        <v>88</v>
      </c>
      <c r="J33" s="0" t="n">
        <v>86</v>
      </c>
      <c r="K33" s="0" t="n">
        <v>88</v>
      </c>
      <c r="L33" s="0" t="s">
        <v>312</v>
      </c>
      <c r="M33" s="0" t="s">
        <v>949</v>
      </c>
      <c r="N33" s="0" t="s">
        <v>309</v>
      </c>
      <c r="O33" s="0" t="s">
        <v>1092</v>
      </c>
      <c r="P33" s="0" t="s">
        <v>1079</v>
      </c>
      <c r="Q33" s="0" t="s">
        <v>227</v>
      </c>
      <c r="R33" s="0" t="n">
        <v>35401</v>
      </c>
      <c r="S33" s="0" t="n">
        <v>23600</v>
      </c>
      <c r="T33" s="0" t="n">
        <v>268008</v>
      </c>
    </row>
    <row r="34" customFormat="false" ht="15" hidden="false" customHeight="false" outlineLevel="0" collapsed="false">
      <c r="C34" s="0" t="n">
        <v>100236</v>
      </c>
      <c r="D34" s="0" t="s">
        <v>569</v>
      </c>
      <c r="E34" s="0" t="s">
        <v>870</v>
      </c>
      <c r="F34" s="0" t="s">
        <v>1127</v>
      </c>
      <c r="G34" s="0" t="s">
        <v>224</v>
      </c>
      <c r="H34" s="0" t="n">
        <v>64</v>
      </c>
      <c r="I34" s="0" t="n">
        <v>48</v>
      </c>
      <c r="J34" s="0" t="n">
        <v>54</v>
      </c>
      <c r="K34" s="0" t="n">
        <v>55</v>
      </c>
      <c r="L34" s="0" t="s">
        <v>234</v>
      </c>
      <c r="M34" s="0" t="s">
        <v>959</v>
      </c>
      <c r="N34" s="0" t="s">
        <v>231</v>
      </c>
      <c r="O34" s="0" t="s">
        <v>1081</v>
      </c>
      <c r="P34" s="0" t="s">
        <v>1084</v>
      </c>
      <c r="Q34" s="0" t="s">
        <v>227</v>
      </c>
      <c r="R34" s="0" t="n">
        <v>3992</v>
      </c>
      <c r="S34" s="0" t="n">
        <v>2662</v>
      </c>
      <c r="T34" s="0" t="n">
        <v>31161</v>
      </c>
    </row>
    <row r="35" customFormat="false" ht="15" hidden="false" customHeight="false" outlineLevel="0" collapsed="false">
      <c r="C35" s="0" t="n">
        <v>100237</v>
      </c>
      <c r="D35" s="0" t="s">
        <v>580</v>
      </c>
      <c r="E35" s="0" t="s">
        <v>874</v>
      </c>
      <c r="F35" s="0" t="s">
        <v>1128</v>
      </c>
      <c r="G35" s="0" t="s">
        <v>205</v>
      </c>
      <c r="H35" s="0" t="n">
        <v>92</v>
      </c>
      <c r="I35" s="0" t="n">
        <v>71</v>
      </c>
      <c r="J35" s="0" t="n">
        <v>62</v>
      </c>
      <c r="K35" s="0" t="n">
        <v>75</v>
      </c>
      <c r="L35" s="0" t="s">
        <v>384</v>
      </c>
      <c r="M35" s="0" t="s">
        <v>968</v>
      </c>
      <c r="N35" s="0" t="s">
        <v>336</v>
      </c>
      <c r="O35" s="0" t="s">
        <v>1096</v>
      </c>
      <c r="P35" s="0" t="s">
        <v>1084</v>
      </c>
      <c r="Q35" s="0" t="s">
        <v>186</v>
      </c>
      <c r="R35" s="0" t="n">
        <v>39659</v>
      </c>
      <c r="S35" s="0" t="n">
        <v>26439</v>
      </c>
      <c r="T35" s="0" t="n">
        <v>154162</v>
      </c>
    </row>
    <row r="36" customFormat="false" ht="15" hidden="false" customHeight="false" outlineLevel="0" collapsed="false">
      <c r="C36" s="0" t="n">
        <v>100238</v>
      </c>
      <c r="D36" s="0" t="s">
        <v>588</v>
      </c>
      <c r="E36" s="0" t="s">
        <v>876</v>
      </c>
      <c r="F36" s="0" t="s">
        <v>1129</v>
      </c>
      <c r="G36" s="0" t="s">
        <v>216</v>
      </c>
      <c r="H36" s="0" t="n">
        <v>63</v>
      </c>
      <c r="I36" s="0" t="n">
        <v>45</v>
      </c>
      <c r="J36" s="0" t="n">
        <v>84</v>
      </c>
      <c r="K36" s="0" t="n">
        <v>64</v>
      </c>
      <c r="L36" s="0" t="s">
        <v>495</v>
      </c>
      <c r="M36" s="0" t="s">
        <v>954</v>
      </c>
      <c r="N36" s="0" t="s">
        <v>347</v>
      </c>
      <c r="O36" s="0" t="s">
        <v>1098</v>
      </c>
      <c r="P36" s="0" t="s">
        <v>1084</v>
      </c>
      <c r="Q36" s="0" t="s">
        <v>227</v>
      </c>
      <c r="R36" s="0" t="n">
        <v>14146</v>
      </c>
      <c r="S36" s="0" t="n">
        <v>9431</v>
      </c>
      <c r="T36" s="0" t="n">
        <v>77314</v>
      </c>
    </row>
    <row r="37" customFormat="false" ht="15" hidden="false" customHeight="false" outlineLevel="0" collapsed="false">
      <c r="C37" s="0" t="n">
        <v>100239</v>
      </c>
      <c r="D37" s="0" t="s">
        <v>890</v>
      </c>
      <c r="E37" s="0" t="s">
        <v>879</v>
      </c>
      <c r="F37" s="0" t="s">
        <v>1130</v>
      </c>
      <c r="G37" s="0" t="s">
        <v>224</v>
      </c>
      <c r="H37" s="0" t="n">
        <v>92</v>
      </c>
      <c r="I37" s="0" t="n">
        <v>52</v>
      </c>
      <c r="J37" s="0" t="n">
        <v>74</v>
      </c>
      <c r="K37" s="0" t="n">
        <v>73</v>
      </c>
      <c r="L37" s="0" t="s">
        <v>529</v>
      </c>
      <c r="M37" s="0" t="s">
        <v>984</v>
      </c>
      <c r="N37" s="0" t="s">
        <v>544</v>
      </c>
      <c r="O37" s="0" t="s">
        <v>1124</v>
      </c>
      <c r="P37" s="0" t="s">
        <v>1079</v>
      </c>
      <c r="Q37" s="0" t="s">
        <v>227</v>
      </c>
      <c r="R37" s="0" t="n">
        <v>18428</v>
      </c>
      <c r="S37" s="0" t="n">
        <v>12285</v>
      </c>
      <c r="T37" s="0" t="n">
        <v>152267</v>
      </c>
    </row>
    <row r="38" customFormat="false" ht="15" hidden="false" customHeight="false" outlineLevel="0" collapsed="false">
      <c r="C38" s="0" t="n">
        <v>100241</v>
      </c>
      <c r="D38" s="0" t="s">
        <v>607</v>
      </c>
      <c r="E38" s="0" t="s">
        <v>881</v>
      </c>
      <c r="F38" s="0" t="s">
        <v>1131</v>
      </c>
      <c r="G38" s="0" t="s">
        <v>220</v>
      </c>
      <c r="H38" s="0" t="n">
        <v>83</v>
      </c>
      <c r="I38" s="0" t="n">
        <v>70</v>
      </c>
      <c r="J38" s="0" t="n">
        <v>83</v>
      </c>
      <c r="K38" s="0" t="n">
        <v>79</v>
      </c>
      <c r="L38" s="0" t="s">
        <v>529</v>
      </c>
      <c r="M38" s="0" t="s">
        <v>941</v>
      </c>
      <c r="N38" s="0" t="s">
        <v>296</v>
      </c>
      <c r="O38" s="0" t="s">
        <v>1090</v>
      </c>
      <c r="P38" s="0" t="s">
        <v>1084</v>
      </c>
      <c r="Q38" s="0" t="s">
        <v>227</v>
      </c>
      <c r="R38" s="0" t="n">
        <v>36292</v>
      </c>
      <c r="S38" s="0" t="n">
        <v>24195</v>
      </c>
      <c r="T38" s="0" t="n">
        <v>252617</v>
      </c>
    </row>
    <row r="39" customFormat="false" ht="15" hidden="false" customHeight="false" outlineLevel="0" collapsed="false">
      <c r="C39" s="0" t="n">
        <v>100242</v>
      </c>
      <c r="D39" s="0" t="s">
        <v>615</v>
      </c>
      <c r="E39" s="0" t="s">
        <v>884</v>
      </c>
      <c r="F39" s="0" t="s">
        <v>1132</v>
      </c>
      <c r="G39" s="0" t="s">
        <v>255</v>
      </c>
      <c r="H39" s="0" t="n">
        <v>81</v>
      </c>
      <c r="I39" s="0" t="n">
        <v>70</v>
      </c>
      <c r="J39" s="0" t="n">
        <v>74</v>
      </c>
      <c r="K39" s="0" t="n">
        <v>75</v>
      </c>
      <c r="L39" s="0" t="s">
        <v>529</v>
      </c>
      <c r="M39" s="0" t="s">
        <v>949</v>
      </c>
      <c r="N39" s="0" t="s">
        <v>381</v>
      </c>
      <c r="O39" s="0" t="s">
        <v>1102</v>
      </c>
      <c r="P39" s="0" t="s">
        <v>1084</v>
      </c>
      <c r="Q39" s="0" t="s">
        <v>186</v>
      </c>
      <c r="R39" s="0" t="n">
        <v>440</v>
      </c>
      <c r="S39" s="0" t="n">
        <v>294</v>
      </c>
      <c r="T39" s="0" t="n">
        <v>3657</v>
      </c>
    </row>
    <row r="40" customFormat="false" ht="15" hidden="false" customHeight="false" outlineLevel="0" collapsed="false">
      <c r="C40" s="0" t="n">
        <v>100243</v>
      </c>
      <c r="D40" s="0" t="s">
        <v>623</v>
      </c>
      <c r="E40" s="0" t="s">
        <v>886</v>
      </c>
      <c r="F40" s="0" t="s">
        <v>1133</v>
      </c>
      <c r="G40" s="0" t="s">
        <v>205</v>
      </c>
      <c r="H40" s="0" t="n">
        <v>88</v>
      </c>
      <c r="I40" s="0" t="n">
        <v>60</v>
      </c>
      <c r="J40" s="0" t="n">
        <v>91</v>
      </c>
      <c r="K40" s="0" t="n">
        <v>80</v>
      </c>
      <c r="L40" s="0" t="s">
        <v>312</v>
      </c>
      <c r="M40" s="0" t="s">
        <v>959</v>
      </c>
      <c r="N40" s="0" t="s">
        <v>518</v>
      </c>
      <c r="O40" s="0" t="s">
        <v>1120</v>
      </c>
      <c r="P40" s="0" t="s">
        <v>1084</v>
      </c>
      <c r="Q40" s="0" t="s">
        <v>227</v>
      </c>
      <c r="R40" s="0" t="n">
        <v>52621</v>
      </c>
      <c r="S40" s="0" t="n">
        <v>35080</v>
      </c>
      <c r="T40" s="0" t="n">
        <v>217658</v>
      </c>
    </row>
    <row r="41" customFormat="false" ht="15" hidden="false" customHeight="false" outlineLevel="0" collapsed="false">
      <c r="C41" s="0" t="n">
        <v>100244</v>
      </c>
      <c r="D41" s="0" t="s">
        <v>631</v>
      </c>
      <c r="E41" s="0" t="s">
        <v>888</v>
      </c>
      <c r="F41" s="0" t="s">
        <v>1134</v>
      </c>
      <c r="G41" s="0" t="s">
        <v>224</v>
      </c>
      <c r="H41" s="0" t="n">
        <v>71</v>
      </c>
      <c r="I41" s="0" t="n">
        <v>67</v>
      </c>
      <c r="J41" s="0" t="n">
        <v>87</v>
      </c>
      <c r="K41" s="0" t="n">
        <v>75</v>
      </c>
      <c r="L41" s="0" t="s">
        <v>234</v>
      </c>
      <c r="M41" s="0" t="s">
        <v>968</v>
      </c>
      <c r="N41" s="0" t="s">
        <v>246</v>
      </c>
      <c r="O41" s="0" t="s">
        <v>1083</v>
      </c>
      <c r="P41" s="0" t="s">
        <v>1079</v>
      </c>
      <c r="Q41" s="0" t="s">
        <v>227</v>
      </c>
      <c r="R41" s="0" t="n">
        <v>38789</v>
      </c>
      <c r="S41" s="0" t="n">
        <v>25859</v>
      </c>
      <c r="T41" s="0" t="n">
        <v>282024</v>
      </c>
    </row>
    <row r="42" customFormat="false" ht="15" hidden="false" customHeight="false" outlineLevel="0" collapsed="false">
      <c r="C42" s="0" t="n">
        <v>100245</v>
      </c>
      <c r="D42" s="0" t="s">
        <v>900</v>
      </c>
      <c r="E42" s="0" t="s">
        <v>889</v>
      </c>
      <c r="F42" s="0" t="s">
        <v>1135</v>
      </c>
      <c r="G42" s="0" t="s">
        <v>216</v>
      </c>
      <c r="H42" s="0" t="n">
        <v>68</v>
      </c>
      <c r="I42" s="0" t="n">
        <v>88</v>
      </c>
      <c r="J42" s="0" t="n">
        <v>65</v>
      </c>
      <c r="K42" s="0" t="n">
        <v>74</v>
      </c>
      <c r="L42" s="0" t="s">
        <v>299</v>
      </c>
      <c r="M42" s="0" t="s">
        <v>954</v>
      </c>
      <c r="N42" s="0" t="s">
        <v>347</v>
      </c>
      <c r="O42" s="0" t="s">
        <v>1098</v>
      </c>
      <c r="P42" s="0" t="s">
        <v>1079</v>
      </c>
      <c r="Q42" s="0" t="s">
        <v>227</v>
      </c>
      <c r="R42" s="0" t="n">
        <v>50552</v>
      </c>
      <c r="S42" s="0" t="n">
        <v>33701</v>
      </c>
      <c r="T42" s="0" t="n">
        <v>365819</v>
      </c>
    </row>
    <row r="43" customFormat="false" ht="15" hidden="false" customHeight="false" outlineLevel="0" collapsed="false">
      <c r="C43" s="0" t="n">
        <v>100247</v>
      </c>
      <c r="D43" s="0" t="s">
        <v>651</v>
      </c>
      <c r="E43" s="0" t="s">
        <v>892</v>
      </c>
      <c r="F43" s="0" t="s">
        <v>1136</v>
      </c>
      <c r="G43" s="0" t="s">
        <v>205</v>
      </c>
      <c r="H43" s="0" t="n">
        <v>51</v>
      </c>
      <c r="I43" s="0" t="n">
        <v>75</v>
      </c>
      <c r="J43" s="0" t="n">
        <v>72</v>
      </c>
      <c r="K43" s="0" t="n">
        <v>66</v>
      </c>
      <c r="L43" s="0" t="s">
        <v>234</v>
      </c>
      <c r="M43" s="0" t="s">
        <v>984</v>
      </c>
      <c r="N43" s="0" t="s">
        <v>544</v>
      </c>
      <c r="O43" s="0" t="s">
        <v>1124</v>
      </c>
      <c r="P43" s="0" t="s">
        <v>1084</v>
      </c>
      <c r="Q43" s="0" t="s">
        <v>227</v>
      </c>
      <c r="R43" s="0" t="n">
        <v>2120</v>
      </c>
      <c r="S43" s="0" t="n">
        <v>1414</v>
      </c>
      <c r="T43" s="0" t="n">
        <v>11930</v>
      </c>
    </row>
    <row r="44" customFormat="false" ht="15" hidden="false" customHeight="false" outlineLevel="0" collapsed="false">
      <c r="C44" s="0" t="n">
        <v>100248</v>
      </c>
      <c r="D44" s="0" t="s">
        <v>903</v>
      </c>
      <c r="E44" s="0" t="s">
        <v>893</v>
      </c>
      <c r="F44" s="0" t="s">
        <v>1137</v>
      </c>
      <c r="G44" s="0" t="s">
        <v>216</v>
      </c>
      <c r="H44" s="0" t="n">
        <v>46</v>
      </c>
      <c r="I44" s="0" t="n">
        <v>57</v>
      </c>
      <c r="J44" s="0" t="n">
        <v>47</v>
      </c>
      <c r="K44" s="0" t="n">
        <v>50</v>
      </c>
      <c r="L44" s="0" t="s">
        <v>196</v>
      </c>
      <c r="M44" s="0" t="s">
        <v>941</v>
      </c>
      <c r="N44" s="0" t="s">
        <v>434</v>
      </c>
      <c r="O44" s="0" t="s">
        <v>1107</v>
      </c>
      <c r="P44" s="0" t="s">
        <v>1084</v>
      </c>
      <c r="Q44" s="0" t="s">
        <v>227</v>
      </c>
      <c r="R44" s="0" t="n">
        <v>12521</v>
      </c>
      <c r="S44" s="0" t="n">
        <v>8348</v>
      </c>
      <c r="T44" s="0" t="n">
        <v>36244</v>
      </c>
    </row>
    <row r="45" customFormat="false" ht="15" hidden="false" customHeight="false" outlineLevel="0" collapsed="false">
      <c r="C45" s="0" t="n">
        <v>100250</v>
      </c>
      <c r="D45" s="0" t="s">
        <v>671</v>
      </c>
      <c r="E45" s="0" t="s">
        <v>894</v>
      </c>
      <c r="F45" s="0" t="s">
        <v>1138</v>
      </c>
      <c r="G45" s="0" t="s">
        <v>269</v>
      </c>
      <c r="H45" s="0" t="n">
        <v>55</v>
      </c>
      <c r="I45" s="0" t="n">
        <v>51</v>
      </c>
      <c r="J45" s="0" t="n">
        <v>88</v>
      </c>
      <c r="K45" s="0" t="n">
        <v>65</v>
      </c>
      <c r="L45" s="0" t="s">
        <v>234</v>
      </c>
      <c r="M45" s="0" t="s">
        <v>949</v>
      </c>
      <c r="N45" s="0" t="s">
        <v>381</v>
      </c>
      <c r="O45" s="0" t="s">
        <v>1102</v>
      </c>
      <c r="P45" s="0" t="s">
        <v>1084</v>
      </c>
      <c r="Q45" s="0" t="s">
        <v>227</v>
      </c>
      <c r="R45" s="0" t="n">
        <v>51339</v>
      </c>
      <c r="S45" s="0" t="n">
        <v>34226</v>
      </c>
      <c r="T45" s="0" t="n">
        <v>448726</v>
      </c>
    </row>
    <row r="46" customFormat="false" ht="15" hidden="false" customHeight="false" outlineLevel="0" collapsed="false">
      <c r="C46" s="0" t="n">
        <v>100251</v>
      </c>
      <c r="D46" s="0" t="s">
        <v>679</v>
      </c>
      <c r="E46" s="0" t="s">
        <v>896</v>
      </c>
      <c r="F46" s="0" t="s">
        <v>1139</v>
      </c>
      <c r="G46" s="0" t="s">
        <v>205</v>
      </c>
      <c r="H46" s="0" t="n">
        <v>59</v>
      </c>
      <c r="I46" s="0" t="n">
        <v>93</v>
      </c>
      <c r="J46" s="0" t="n">
        <v>84</v>
      </c>
      <c r="K46" s="0" t="n">
        <v>79</v>
      </c>
      <c r="L46" s="0" t="s">
        <v>384</v>
      </c>
      <c r="M46" s="0" t="s">
        <v>959</v>
      </c>
      <c r="N46" s="0" t="s">
        <v>518</v>
      </c>
      <c r="O46" s="0" t="s">
        <v>1120</v>
      </c>
      <c r="P46" s="0" t="s">
        <v>1084</v>
      </c>
      <c r="Q46" s="0" t="s">
        <v>227</v>
      </c>
      <c r="R46" s="0" t="n">
        <v>32771</v>
      </c>
      <c r="S46" s="0" t="n">
        <v>21847</v>
      </c>
      <c r="T46" s="0" t="n">
        <v>233071</v>
      </c>
    </row>
    <row r="47" customFormat="false" ht="15" hidden="false" customHeight="false" outlineLevel="0" collapsed="false">
      <c r="C47" s="0" t="n">
        <v>100252</v>
      </c>
      <c r="D47" s="0" t="s">
        <v>687</v>
      </c>
      <c r="E47" s="0" t="s">
        <v>897</v>
      </c>
      <c r="F47" s="0" t="s">
        <v>1140</v>
      </c>
      <c r="G47" s="0" t="s">
        <v>205</v>
      </c>
      <c r="H47" s="0" t="n">
        <v>49</v>
      </c>
      <c r="I47" s="0" t="n">
        <v>68</v>
      </c>
      <c r="J47" s="0" t="n">
        <v>85</v>
      </c>
      <c r="K47" s="0" t="n">
        <v>67</v>
      </c>
      <c r="L47" s="0" t="s">
        <v>384</v>
      </c>
      <c r="M47" s="0" t="s">
        <v>968</v>
      </c>
      <c r="N47" s="0" t="s">
        <v>336</v>
      </c>
      <c r="O47" s="0" t="s">
        <v>1096</v>
      </c>
      <c r="P47" s="0" t="s">
        <v>1084</v>
      </c>
      <c r="Q47" s="0" t="s">
        <v>227</v>
      </c>
      <c r="R47" s="0" t="n">
        <v>43933</v>
      </c>
      <c r="S47" s="0" t="n">
        <v>29289</v>
      </c>
      <c r="T47" s="0" t="n">
        <v>164279</v>
      </c>
    </row>
    <row r="48" customFormat="false" ht="15" hidden="false" customHeight="false" outlineLevel="0" collapsed="false">
      <c r="C48" s="0" t="n">
        <v>100253</v>
      </c>
      <c r="D48" s="0" t="s">
        <v>695</v>
      </c>
      <c r="E48" s="0" t="s">
        <v>899</v>
      </c>
      <c r="F48" s="0" t="s">
        <v>1141</v>
      </c>
      <c r="G48" s="0" t="s">
        <v>205</v>
      </c>
      <c r="H48" s="0" t="n">
        <v>55</v>
      </c>
      <c r="I48" s="0" t="n">
        <v>56</v>
      </c>
      <c r="J48" s="0" t="n">
        <v>86</v>
      </c>
      <c r="K48" s="0" t="n">
        <v>66</v>
      </c>
      <c r="L48" s="0" t="s">
        <v>529</v>
      </c>
      <c r="M48" s="0" t="s">
        <v>954</v>
      </c>
      <c r="N48" s="0" t="s">
        <v>262</v>
      </c>
      <c r="O48" s="0" t="s">
        <v>1086</v>
      </c>
      <c r="P48" s="0" t="s">
        <v>1084</v>
      </c>
      <c r="Q48" s="0" t="s">
        <v>227</v>
      </c>
      <c r="R48" s="0" t="n">
        <v>22996</v>
      </c>
      <c r="S48" s="0" t="n">
        <v>15330</v>
      </c>
      <c r="T48" s="0" t="n">
        <v>76823</v>
      </c>
    </row>
    <row r="49" customFormat="false" ht="15" hidden="false" customHeight="false" outlineLevel="0" collapsed="false">
      <c r="C49" s="0" t="n">
        <v>100254</v>
      </c>
      <c r="D49" s="0" t="s">
        <v>703</v>
      </c>
      <c r="E49" s="0" t="s">
        <v>901</v>
      </c>
      <c r="F49" s="0" t="s">
        <v>1142</v>
      </c>
      <c r="G49" s="0" t="s">
        <v>220</v>
      </c>
      <c r="H49" s="0" t="n">
        <v>61</v>
      </c>
      <c r="I49" s="0" t="n">
        <v>73</v>
      </c>
      <c r="J49" s="0" t="n">
        <v>92</v>
      </c>
      <c r="K49" s="0" t="n">
        <v>75</v>
      </c>
      <c r="L49" s="0" t="s">
        <v>384</v>
      </c>
      <c r="M49" s="0" t="s">
        <v>984</v>
      </c>
      <c r="N49" s="0" t="s">
        <v>483</v>
      </c>
      <c r="O49" s="0" t="s">
        <v>1115</v>
      </c>
      <c r="P49" s="0" t="s">
        <v>1079</v>
      </c>
      <c r="Q49" s="0" t="s">
        <v>186</v>
      </c>
      <c r="R49" s="0" t="n">
        <v>6050</v>
      </c>
      <c r="S49" s="0" t="n">
        <v>4033</v>
      </c>
      <c r="T49" s="0" t="n">
        <v>40875</v>
      </c>
    </row>
    <row r="50" customFormat="false" ht="15" hidden="false" customHeight="false" outlineLevel="0" collapsed="false">
      <c r="C50" s="0" t="n">
        <v>100255</v>
      </c>
      <c r="D50" s="0" t="s">
        <v>711</v>
      </c>
      <c r="E50" s="0" t="s">
        <v>907</v>
      </c>
      <c r="F50" s="0" t="s">
        <v>1143</v>
      </c>
      <c r="G50" s="0" t="s">
        <v>220</v>
      </c>
      <c r="H50" s="0" t="n">
        <v>63</v>
      </c>
      <c r="I50" s="0" t="n">
        <v>74</v>
      </c>
      <c r="J50" s="0" t="n">
        <v>73</v>
      </c>
      <c r="K50" s="0" t="n">
        <v>70</v>
      </c>
      <c r="L50" s="0" t="s">
        <v>196</v>
      </c>
      <c r="M50" s="0" t="s">
        <v>941</v>
      </c>
      <c r="N50" s="0" t="s">
        <v>296</v>
      </c>
      <c r="O50" s="0" t="s">
        <v>1090</v>
      </c>
      <c r="P50" s="0" t="s">
        <v>1084</v>
      </c>
      <c r="Q50" s="0" t="s">
        <v>227</v>
      </c>
      <c r="R50" s="0" t="n">
        <v>43086</v>
      </c>
      <c r="S50" s="0" t="n">
        <v>28724</v>
      </c>
      <c r="T50" s="0" t="n">
        <v>344568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2026-10-21T09:07:10Z</dcterms:created>
  <dc:creator>openpyxl</dc:creator>
  <dc:description/>
  <dc:language>en-GB</dc:language>
  <cp:lastModifiedBy/>
  <dcterms:modified xsi:type="dcterms:W3CDTF">2026-10-21T09:07:10Z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